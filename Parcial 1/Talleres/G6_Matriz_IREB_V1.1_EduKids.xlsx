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CheckList" sheetId="2" r:id="rId5"/>
    <sheet state="visible" name="MODELO LISTA DE COMPROBACION - " sheetId="3" r:id="rId6"/>
    <sheet state="visible" name="RECOMENDACIONES" sheetId="4" r:id="rId7"/>
  </sheets>
  <definedNames/>
  <calcPr/>
  <extLst>
    <ext uri="GoogleSheetsCustomDataVersion2">
      <go:sheetsCustomData xmlns:go="http://customooxmlschemas.google.com/" r:id="rId8" roundtripDataChecksum="rJA8YBayJ+Kn04Ng1S1PFgyp/tvddj78sEkQU2w76V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ID#AAAB3Qoep3w
jeny ruiz    (2026-04-14 14:52:44)
jeny ruiz:
Posterior a la actualización, se guardaran automáticamente el nombre de usuario, fecha, hora, registro antiguo, registro nuevo.</t>
      </text>
    </comment>
    <comment authorId="0" ref="C16">
      <text>
        <t xml:space="preserve">======
ID#AAAB3Qoep3s
jeny ruiz    (2026-04-14 14:52:44)
Puede ser implementado  y desarrollado en las condiciones actuales(tiempo, Presupuest,, orgtanizaciòn, ect)</t>
      </text>
    </comment>
    <comment authorId="0" ref="C18">
      <text>
        <t xml:space="preserve">======
ID#AAAB3Qoep3g
jeny ruiz    (2026-04-14 14:52:44)
Trata todos los asuntos relevantes</t>
      </text>
    </comment>
    <comment authorId="0" ref="C12">
      <text>
        <t xml:space="preserve">======
ID#AAAB3Qoep3o
jeny ruiz    (2026-04-14 14:52:44)
Toda nueva información  ha sido incorporada</t>
      </text>
    </comment>
    <comment authorId="0" ref="F7">
      <text>
        <t xml:space="preserve">======
ID#AAAB3Qoep3k
jeny ruiz    (2026-04-14 14:52:44)
La información contenida en memoria se utiliza para actualizar los campos de la base de datos.</t>
      </text>
    </comment>
    <comment authorId="0" ref="J7">
      <text>
        <t xml:space="preserve">======
ID#AAAB3Qoep3Y
jeny ruiz    (2026-04-14 14:52:44)
Control del nivel de acuedo entre las partes Cliente y Desarrollador</t>
      </text>
    </comment>
    <comment authorId="0" ref="F9">
      <text>
        <t xml:space="preserve">======
ID#AAAB3Qoep3c
jeny ruiz    (2026-04-14 14:52:44)
Es importante ingresar el archivo plano en formato excel para el cliente y el desarrollador</t>
      </text>
    </comment>
    <comment authorId="0" ref="C17">
      <text>
        <t xml:space="preserve">======
ID#AAAB3Qoep3U
jeny ruiz    (2026-04-14 14:52:44)
El origen del requisito y sus relaciones con otros requisitos  están claros.</t>
      </text>
    </comment>
    <comment authorId="0" ref="C11">
      <text>
        <t xml:space="preserve">======
ID#AAAB3Qoep3E
jeny ruiz    (2026-04-14 14:52:44)
Todos los lectores comprenden de la misma manera, sólo una interpretación</t>
      </text>
    </comment>
    <comment authorId="0" ref="C10">
      <text>
        <t xml:space="preserve">======
ID#AAAB3Qoep3M
jeny ruiz    (2026-04-14 14:52:44)
Ponderado por importancia o prioridad</t>
      </text>
    </comment>
    <comment authorId="0" ref="C13">
      <text>
        <t xml:space="preserve">======
ID#AAAB3Qoep3I
jeny ruiz    (2026-04-14 14:52:44)
Refleja las espectativas  del implicado</t>
      </text>
    </comment>
    <comment authorId="0" ref="E7">
      <text>
        <t xml:space="preserve">======
ID#AAAB3Qoep3Q
jeny ruiz    (2026-04-14 14:52:44)
Control del nivel de acuedo entre las partes Cliente y Desarrollador</t>
      </text>
    </comment>
    <comment authorId="0" ref="C19">
      <text>
        <t xml:space="preserve">======
ID#AAAB3Qoep28
jeny ruiz    (2026-04-14 14:52:44)
Para todos los interesados dependiendo  de la fase del proyecto podrían estar involucrados  distintos implicados,(Glosario de tèrminos)</t>
      </text>
    </comment>
    <comment authorId="0" ref="K9">
      <text>
        <t xml:space="preserve">======
ID#AAAB3Qoep3A
jeny ruiz    (2026-04-14 14:52:44)
Es importante ingresar el archivo plano en formato excel para el cliente y el desarrollador</t>
      </text>
    </comment>
    <comment authorId="0" ref="C9">
      <text>
        <t xml:space="preserve">======
ID#AAAB3Qoep2s
jeny ruiz    (2026-04-14 14:52:44)
Todos los interesados reconocen que el  requisito es correcto y relevante</t>
      </text>
    </comment>
    <comment authorId="0" ref="C14">
      <text>
        <t xml:space="preserve">======
ID#AAAB3Qoep20
jeny ruiz    (2026-04-14 14:52:44)
Sin contradicciones</t>
      </text>
    </comment>
    <comment authorId="0" ref="C15">
      <text>
        <t xml:space="preserve">======
ID#AAAB3Qoep2c
jeny ruiz    (2026-04-14 14:52:44)
Su cumplimiento o no cumplimiento puede der probado con un esfuerzo razonable</t>
      </text>
    </comment>
    <comment authorId="0" ref="G7">
      <text>
        <t xml:space="preserve">======
ID#AAAB3Qoep2k
jeny ruiz    (2026-04-14 14:52:44)
Control del nivel de acuedo entre las partes Cliente y Desarrollador</t>
      </text>
    </comment>
    <comment authorId="0" ref="I7">
      <text>
        <t xml:space="preserve">======
ID#AAAB3Qoep2I
jeny ruiz    (2026-04-14 14:52:44)
Se guarda en un archivo Excel los registros que dieron un problema en la actualización.</t>
      </text>
    </comment>
    <comment authorId="0" ref="I9">
      <text>
        <t xml:space="preserve">======
ID#AAAB3Qoep2Q
jeny ruiz    (2026-04-14 14:52:44)
Es importante ingresar el archivo plano en formato excel para el cliente y el desarrollador</t>
      </text>
    </comment>
  </commentList>
  <extLst>
    <ext uri="GoogleSheetsCustomDataVersion2">
      <go:sheetsCustomData xmlns:go="http://customooxmlschemas.google.com/" r:id="rId1" roundtripDataSignature="AMtx7mhoxpB7AEB3N+W6Ouwh7y7n/TxxmQ=="/>
    </ext>
  </extLst>
</comments>
</file>

<file path=xl/sharedStrings.xml><?xml version="1.0" encoding="utf-8"?>
<sst xmlns="http://schemas.openxmlformats.org/spreadsheetml/2006/main" count="348" uniqueCount="108">
  <si>
    <t>MATRIZ PARA COMPROBACIÓN REQUERIMIENTOS DE CALIDAD DE PROYECTO ACADEMICO</t>
  </si>
  <si>
    <t>SISTEMA:</t>
  </si>
  <si>
    <t>SISTEMA DE GESTION DE CRIANZA DE CONEJOS (Hoptolt)</t>
  </si>
  <si>
    <t>Requerimientos  Funcionales</t>
  </si>
  <si>
    <t>Nº</t>
  </si>
  <si>
    <t>CRITERIOS DE CALIDAD (Documento/Requerimientos)</t>
  </si>
  <si>
    <t>Status
Nivel de Acuerdo</t>
  </si>
  <si>
    <t xml:space="preserve">
CU001.3 Gestionar Datos de conejos
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</si>
  <si>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</si>
  <si>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</si>
  <si>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</si>
  <si>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</si>
  <si>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</si>
  <si>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</si>
  <si>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</si>
  <si>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</si>
  <si>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</si>
  <si>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</si>
  <si>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</si>
  <si>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</si>
  <si>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</si>
  <si>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</si>
  <si>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NOK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</si>
  <si>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</si>
  <si>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</si>
  <si>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</si>
  <si>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</si>
  <si>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</si>
  <si>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</si>
  <si>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</si>
  <si>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</si>
  <si>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</si>
  <si>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SISTEME DE CONTROL DE ASISTENCIA Y PAGOS</t>
  </si>
  <si>
    <t xml:space="preserve">
CU01 Administrar sistema</t>
  </si>
  <si>
    <t>RF-02 Registrar matrícula</t>
  </si>
  <si>
    <t>CU-08 Generar reportes</t>
  </si>
  <si>
    <t>1. Existe en la descripcion del caso de uso prioridad Alta</t>
  </si>
  <si>
    <t>1. Exsitencia del apartado prioridad de requisito en donde se especifica la prioridad Alta</t>
  </si>
  <si>
    <t>1. En la descripción del caso de Uso se especifica la prioridad Alta/Escencial</t>
  </si>
  <si>
    <t>1.  Redacción de manera clara y consisa, mencionando el flujo de entrada de cada actor</t>
  </si>
  <si>
    <t>No OK</t>
  </si>
  <si>
    <t>1. Existencia de ambiguedades como"formato establecido" en donde no se referencia a ningun anexo o información que evidencie la existencia del formato</t>
  </si>
  <si>
    <t>1. Redacción estructurada detallando secuencias normales y excepciones paso a paso.
2. Roles claramente separados (Directora, Sistema).</t>
  </si>
  <si>
    <t xml:space="preserve">1. Muestra un control de version, por ende toda nueva información ha sido incorporada </t>
  </si>
  <si>
    <t xml:space="preserve">1. Los cambios no han sido aplicados luego del feedback realizado por el revisor </t>
  </si>
  <si>
    <t>1. Refleja las expectativas de los implicados al permitir que Directora, Padres y Docentes gestionen sus cuentas según su rol.</t>
  </si>
  <si>
    <t>1. Está alineado con el propósito de apoyar el control interno del centro infantil.
2. Refleja la necesidad de cumplir con información oficial.</t>
  </si>
  <si>
    <t>1. Es consistente con las restricciones de seguridad (ISO/IEC 27001) y la arquitectura cliente-servidor definidas en el SRS.</t>
  </si>
  <si>
    <t>1. Mantiene coherencia y hace referencia a otros casos de uso del sistema
2. Mantiene uniformidad en las opciones de exportación en todos los RF.</t>
  </si>
  <si>
    <t>1. No se puede probar con un "esfuerzo razonable" único. Se requiere verificar individualmente cada subproceso de Nivel 1 (RF-1.1 al RF-1.4) para dar por cumplido el RF-01 .</t>
  </si>
  <si>
    <t>1. No cuenta con una forma establecida para que sea medible</t>
  </si>
  <si>
    <t>1. Los criterios están descritos, pero falta la definición formal de Casos de Prueba.</t>
  </si>
  <si>
    <t>1. Requisito viable por factibilidad técnica (stack Node.js/SQL) y económica (presupuesto de $7,729.70). El equipo cuenta con roles definidos, equipos propios y un plazo de 4 meses, lo cual asegura su implementación dentro de las capacidades actuales.</t>
  </si>
  <si>
    <t>1. El requisito es viable e implementable, se encuentra contemplada de una manera realista y dentro del presupuesto establecido ($7,729.70)</t>
  </si>
  <si>
    <t>1. Hacer que el sistema lea un documento de Word para crear formularios automáticamente (RF-8.3) es muy difícil de ejecutar. Probablemente tomará más tiempo y dinero del que se había calculado.</t>
  </si>
  <si>
    <t>1. Posee un identificador único (RF-01) y está claramente vinculado al Diagrama de Casos de Uso de Nivel 0</t>
  </si>
  <si>
    <t xml:space="preserve">1. El origen del requisito no es claro con las precondiciones necesarias para que este se ejecute </t>
  </si>
  <si>
    <t>1. Relaciona claramente las precondiciones con los datos almacenados previamente en el sistema.</t>
  </si>
  <si>
    <t>1. Como requerimiento general de Nivel 0, cubre todos los aspectos de administración de acceso y usuarios necesarios para el sistema</t>
  </si>
  <si>
    <t>1.Contiene una descripción completa de la funcionalidad del requisito como de los prerequisitos necesarios, involucrando a los actores y definiendo su funcionalidad</t>
  </si>
  <si>
    <t>1. Contiene actores, propósitos, descripciones, precondiciones, secuencias normales, postcondiciones y excepciones detalladas.</t>
  </si>
  <si>
    <t>1. Utiliza lenguaje claro del dominio (código AMIE, ejes, ámbitos, destrezas).</t>
  </si>
  <si>
    <t>SISTEME DE CONTROL DE ASISTENCIA Y PAGOS (EduKids)</t>
  </si>
  <si>
    <t>FECHA:</t>
  </si>
  <si>
    <t>AUTOR:</t>
  </si>
  <si>
    <t>Andrade Danna, LLumiquina Ariel, David Pilaguano</t>
  </si>
  <si>
    <t>REQUERIMIENTOS EVALUADOS :</t>
  </si>
  <si>
    <t>CU01 Administrar sistema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</si>
  <si>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</si>
  <si>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</si>
  <si>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</si>
  <si>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</si>
  <si>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</si>
  <si>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</si>
  <si>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</si>
  <si>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</si>
  <si>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>x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</si>
  <si>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</si>
  <si>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</si>
  <si>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</si>
  <si>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</si>
  <si>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</si>
  <si>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</si>
  <si>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</si>
  <si>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</si>
  <si>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</si>
  <si>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</si>
  <si>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</si>
  <si>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</si>
  <si>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</si>
  <si>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</si>
  <si>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</si>
  <si>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</si>
  <si>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</si>
  <si>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</si>
  <si>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</si>
  <si>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</si>
  <si>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</si>
  <si>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</si>
  <si>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</si>
  <si>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</si>
  <si>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Obtener la firma formal de la Directora en las actas para evitar cambios de alcance</t>
  </si>
  <si>
    <t>¿Se han definido criterios de aceptación y casos de prueba
 que permitan medir objetivamente el cumplimiento del 
requisito?</t>
  </si>
  <si>
    <t>Crear una lista de chequeo (Pasa/No Pasa) basada en las Excepciones, de los Casos de Uso para que la Directora valide el sistema de forma objetiva.</t>
  </si>
  <si>
    <t xml:space="preserve">Obtener la aprovación formal de la Directora en las actas y cumplir los cambios sugeridos por asesor y cliente en el tiempo establecido, evitando el retraso del proyecto aumentando los costos del mismno </t>
  </si>
  <si>
    <t xml:space="preserve">Elaborar una lista de Criterios de Aceptación en donde se examine el nivel de exito al momento de realizar la matricula del estudiante, realizar una correcta redación y referenciar los documentos que señala el texto </t>
  </si>
  <si>
    <t>Obtener la firma formal de la Directora en el documento final para definir el alcance y todo lo requerido del proyecto</t>
  </si>
  <si>
    <t>Redactar casos de prueba específicos para las "Excepciones" planteadas en los casos de uso (ej. validar el comportamiento del sistema cuando el niño no tiene registros de asistencia, o cuando el formato Word importado no cumple la estructura mínima requerida).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</si>
</sst>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rgb="FF006100"/>
      <name val="Calibri"/>
    </font>
    <font>
      <b/>
      <sz val="11.0"/>
      <color rgb="FF000000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9BBB59"/>
        <bgColor rgb="FF9BBB59"/>
      </patternFill>
    </fill>
    <fill>
      <patternFill patternType="solid">
        <fgColor rgb="FFEAF1DD"/>
        <bgColor rgb="FFEAF1DD"/>
      </patternFill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FFC7CE"/>
        <bgColor rgb="FFFFC7CE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4" fillId="2" fontId="6" numFmtId="0" xfId="0" applyAlignment="1" applyBorder="1" applyFont="1">
      <alignment horizontal="center" readingOrder="0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shrinkToFit="0" vertical="center" wrapText="1"/>
    </xf>
    <xf borderId="0" fillId="0" fontId="8" numFmtId="0" xfId="0" applyFont="1"/>
    <xf borderId="7" fillId="3" fontId="11" numFmtId="0" xfId="0" applyAlignment="1" applyBorder="1" applyFont="1">
      <alignment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13" fillId="3" fontId="1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7" fillId="3" fontId="11" numFmtId="0" xfId="0" applyAlignment="1" applyBorder="1" applyFont="1">
      <alignment readingOrder="0" shrinkToFit="0" vertical="center" wrapText="1"/>
    </xf>
    <xf borderId="7" fillId="5" fontId="10" numFmtId="0" xfId="0" applyAlignment="1" applyBorder="1" applyFont="1">
      <alignment horizontal="right" readingOrder="0" shrinkToFit="0" vertical="center" wrapText="1"/>
    </xf>
    <xf borderId="12" fillId="3" fontId="11" numFmtId="0" xfId="0" applyAlignment="1" applyBorder="1" applyFont="1">
      <alignment horizontal="left" readingOrder="0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7" fillId="5" fontId="10" numFmtId="0" xfId="0" applyAlignment="1" applyBorder="1" applyFont="1">
      <alignment horizontal="center" readingOrder="0" shrinkToFit="0" vertical="center" wrapText="1"/>
    </xf>
    <xf borderId="13" fillId="3" fontId="11" numFmtId="0" xfId="0" applyAlignment="1" applyBorder="1" applyFont="1">
      <alignment horizontal="left" readingOrder="0" shrinkToFit="0" vertical="center" wrapText="1"/>
    </xf>
    <xf borderId="7" fillId="0" fontId="12" numFmtId="0" xfId="0" applyAlignment="1" applyBorder="1" applyFont="1">
      <alignment vertical="top"/>
    </xf>
    <xf borderId="1" fillId="0" fontId="13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vertical="top"/>
    </xf>
    <xf borderId="7" fillId="0" fontId="12" numFmtId="0" xfId="0" applyAlignment="1" applyBorder="1" applyFont="1">
      <alignment vertical="bottom"/>
    </xf>
    <xf borderId="1" fillId="0" fontId="13" numFmtId="15" xfId="0" applyAlignment="1" applyBorder="1" applyFont="1" applyNumberForma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left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12" fillId="6" fontId="13" numFmtId="0" xfId="0" applyAlignment="1" applyBorder="1" applyFill="1" applyFont="1">
      <alignment horizontal="center" vertical="center"/>
    </xf>
    <xf borderId="14" fillId="6" fontId="13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12" fillId="7" fontId="13" numFmtId="0" xfId="0" applyAlignment="1" applyBorder="1" applyFill="1" applyFont="1">
      <alignment horizontal="center"/>
    </xf>
    <xf borderId="14" fillId="7" fontId="13" numFmtId="0" xfId="0" applyAlignment="1" applyBorder="1" applyFont="1">
      <alignment horizontal="center"/>
    </xf>
    <xf borderId="15" fillId="7" fontId="13" numFmtId="0" xfId="0" applyAlignment="1" applyBorder="1" applyFont="1">
      <alignment horizont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/>
    </xf>
    <xf borderId="7" fillId="2" fontId="8" numFmtId="0" xfId="0" applyAlignment="1" applyBorder="1" applyFont="1">
      <alignment shrinkToFit="0" vertical="bottom" wrapText="1"/>
    </xf>
    <xf borderId="1" fillId="2" fontId="8" numFmtId="0" xfId="0" applyBorder="1" applyFont="1"/>
    <xf borderId="1" fillId="0" fontId="8" numFmtId="0" xfId="0" applyAlignment="1" applyBorder="1" applyFont="1">
      <alignment horizontal="center" readingOrder="0" vertical="center"/>
    </xf>
    <xf borderId="3" fillId="6" fontId="8" numFmtId="0" xfId="0" applyAlignment="1" applyBorder="1" applyFont="1">
      <alignment horizontal="center"/>
    </xf>
    <xf borderId="7" fillId="6" fontId="8" numFmtId="0" xfId="0" applyAlignment="1" applyBorder="1" applyFont="1">
      <alignment shrinkToFit="0" vertical="bottom" wrapText="1"/>
    </xf>
    <xf borderId="1" fillId="6" fontId="8" numFmtId="0" xfId="0" applyBorder="1" applyFont="1"/>
    <xf borderId="7" fillId="8" fontId="15" numFmtId="0" xfId="0" applyAlignment="1" applyBorder="1" applyFill="1" applyFont="1">
      <alignment horizont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/>
    </xf>
    <xf borderId="4" fillId="2" fontId="8" numFmtId="0" xfId="0" applyAlignment="1" applyBorder="1" applyFont="1">
      <alignment shrinkToFit="0" vertical="bottom" wrapText="1"/>
    </xf>
    <xf borderId="4" fillId="2" fontId="8" numFmtId="0" xfId="0" applyBorder="1" applyFont="1"/>
    <xf borderId="0" fillId="0" fontId="12" numFmtId="0" xfId="0" applyAlignment="1" applyFont="1">
      <alignment horizontal="left" vertical="center"/>
    </xf>
    <xf borderId="0" fillId="0" fontId="12" numFmtId="0" xfId="0" applyFont="1"/>
    <xf borderId="0" fillId="0" fontId="8" numFmtId="0" xfId="0" applyAlignment="1" applyFont="1">
      <alignment horizontal="right" readingOrder="0" vertical="bottom"/>
    </xf>
    <xf borderId="0" fillId="0" fontId="8" numFmtId="9" xfId="0" applyFont="1" applyNumberFormat="1"/>
    <xf borderId="0" fillId="0" fontId="8" numFmtId="9" xfId="0" applyAlignment="1" applyFont="1" applyNumberFormat="1">
      <alignment horizontal="right" vertical="bottom"/>
    </xf>
    <xf borderId="0" fillId="0" fontId="8" numFmtId="0" xfId="0" applyFont="1"/>
    <xf borderId="0" fillId="0" fontId="8" numFmtId="9" xfId="0" applyAlignment="1" applyFont="1" applyNumberFormat="1">
      <alignment vertical="bottom"/>
    </xf>
    <xf borderId="16" fillId="0" fontId="14" numFmtId="0" xfId="0" applyAlignment="1" applyBorder="1" applyFont="1">
      <alignment horizontal="center" vertical="center"/>
    </xf>
    <xf borderId="16" fillId="0" fontId="5" numFmtId="0" xfId="0" applyBorder="1" applyFont="1"/>
    <xf borderId="16" fillId="0" fontId="14" numFmtId="0" xfId="0" applyAlignment="1" applyBorder="1" applyFont="1">
      <alignment horizontal="center"/>
    </xf>
    <xf borderId="10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0" fillId="9" fontId="12" numFmtId="0" xfId="0" applyAlignment="1" applyBorder="1" applyFill="1" applyFont="1">
      <alignment horizontal="center"/>
    </xf>
    <xf borderId="8" fillId="9" fontId="12" numFmtId="0" xfId="0" applyAlignment="1" applyBorder="1" applyFont="1">
      <alignment horizontal="center"/>
    </xf>
    <xf borderId="8" fillId="9" fontId="10" numFmtId="0" xfId="0" applyAlignment="1" applyBorder="1" applyFont="1">
      <alignment horizontal="center"/>
    </xf>
    <xf borderId="9" fillId="9" fontId="10" numFmtId="0" xfId="0" applyAlignment="1" applyBorder="1" applyFont="1">
      <alignment horizontal="center"/>
    </xf>
    <xf borderId="3" fillId="10" fontId="8" numFmtId="0" xfId="0" applyAlignment="1" applyBorder="1" applyFill="1" applyFont="1">
      <alignment horizontal="center"/>
    </xf>
    <xf borderId="7" fillId="10" fontId="8" numFmtId="0" xfId="0" applyAlignment="1" applyBorder="1" applyFont="1">
      <alignment shrinkToFit="0" vertical="bottom" wrapText="1"/>
    </xf>
    <xf borderId="1" fillId="10" fontId="8" numFmtId="0" xfId="0" applyBorder="1" applyFont="1"/>
    <xf borderId="5" fillId="0" fontId="8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/>
    </xf>
    <xf borderId="4" fillId="10" fontId="8" numFmtId="0" xfId="0" applyAlignment="1" applyBorder="1" applyFont="1">
      <alignment shrinkToFit="0" vertical="bottom" wrapText="1"/>
    </xf>
    <xf borderId="5" fillId="10" fontId="8" numFmtId="0" xfId="0" applyBorder="1" applyFont="1"/>
    <xf borderId="0" fillId="0" fontId="8" numFmtId="0" xfId="0" applyAlignment="1" applyFont="1">
      <alignment horizontal="right" vertical="bottom"/>
    </xf>
    <xf borderId="10" fillId="11" fontId="12" numFmtId="0" xfId="0" applyAlignment="1" applyBorder="1" applyFill="1" applyFont="1">
      <alignment horizontal="center"/>
    </xf>
    <xf borderId="8" fillId="11" fontId="12" numFmtId="0" xfId="0" applyAlignment="1" applyBorder="1" applyFont="1">
      <alignment horizontal="center"/>
    </xf>
    <xf borderId="8" fillId="11" fontId="10" numFmtId="0" xfId="0" applyAlignment="1" applyBorder="1" applyFont="1">
      <alignment horizontal="center"/>
    </xf>
    <xf borderId="9" fillId="11" fontId="10" numFmtId="0" xfId="0" applyAlignment="1" applyBorder="1" applyFont="1">
      <alignment horizontal="center"/>
    </xf>
    <xf borderId="3" fillId="12" fontId="8" numFmtId="0" xfId="0" applyAlignment="1" applyBorder="1" applyFill="1" applyFont="1">
      <alignment horizontal="center"/>
    </xf>
    <xf borderId="7" fillId="12" fontId="8" numFmtId="0" xfId="0" applyAlignment="1" applyBorder="1" applyFont="1">
      <alignment shrinkToFit="0" vertical="bottom" wrapText="1"/>
    </xf>
    <xf borderId="4" fillId="12" fontId="8" numFmtId="0" xfId="0" applyBorder="1" applyFont="1"/>
    <xf borderId="4" fillId="6" fontId="8" numFmtId="0" xfId="0" applyBorder="1" applyFont="1"/>
    <xf borderId="6" fillId="12" fontId="8" numFmtId="0" xfId="0" applyAlignment="1" applyBorder="1" applyFont="1">
      <alignment horizontal="center"/>
    </xf>
    <xf borderId="4" fillId="12" fontId="8" numFmtId="0" xfId="0" applyAlignment="1" applyBorder="1" applyFont="1">
      <alignment shrinkToFit="0" vertical="bottom" wrapText="1"/>
    </xf>
    <xf borderId="4" fillId="13" fontId="15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vertical="bottom"/>
    </xf>
    <xf borderId="0" fillId="0" fontId="8" numFmtId="0" xfId="0" applyAlignment="1" applyFont="1">
      <alignment vertical="top"/>
    </xf>
    <xf borderId="0" fillId="14" fontId="16" numFmtId="0" xfId="0" applyAlignment="1" applyFill="1" applyFont="1">
      <alignment horizontal="center" readingOrder="0" vertical="center"/>
    </xf>
    <xf borderId="7" fillId="14" fontId="17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vertical="top" wrapText="1"/>
    </xf>
    <xf borderId="7" fillId="0" fontId="1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1" type="headerRow"/>
      <tableStyleElement dxfId="2" type="firstRowStripe"/>
      <tableStyleElement dxfId="3" type="secondRowStripe"/>
    </tableStyle>
    <tableStyle count="3" pivot="0" name="MODELO LISTA DE COMPROBACION - -style 3">
      <tableStyleElement dxfId="1" type="headerRow"/>
      <tableStyleElement dxfId="2" type="firstRowStripe"/>
      <tableStyleElement dxfId="3" type="secondRowStripe"/>
    </tableStyle>
    <tableStyle count="3" pivot="0" name="MODELO LISTA DE COMPROBACION - -style 4">
      <tableStyleElement dxfId="4" type="headerRow"/>
      <tableStyleElement dxfId="5" type="firstRowStripe"/>
      <tableStyleElement dxfId="3" type="secondRowStripe"/>
    </tableStyle>
    <tableStyle count="3" pivot="0" name="MODELO LISTA DE COMPROBACION - -style 5">
      <tableStyleElement dxfId="4" type="headerRow"/>
      <tableStyleElement dxfId="5" type="firstRowStripe"/>
      <tableStyleElement dxfId="3" type="secondRowStripe"/>
    </tableStyle>
    <tableStyle count="3" pivot="0" name="MODELO LISTA DE COMPROBACION - -style 6">
      <tableStyleElement dxfId="4" type="headerRow"/>
      <tableStyleElement dxfId="5" type="firstRowStripe"/>
      <tableStyleElement dxfId="3" type="secondRowStripe"/>
    </tableStyle>
    <tableStyle count="3" pivot="0" name="MODELO LISTA DE COMPROBACION - -style 7">
      <tableStyleElement dxfId="6" type="headerRow"/>
      <tableStyleElement dxfId="7" type="firstRowStripe"/>
      <tableStyleElement dxfId="3" type="secondRowStripe"/>
    </tableStyle>
    <tableStyle count="3" pivot="0" name="MODELO LISTA DE COMPROBACION - -style 8">
      <tableStyleElement dxfId="6" type="headerRow"/>
      <tableStyleElement dxfId="7" type="firstRowStripe"/>
      <tableStyleElement dxfId="3" type="secondRowStripe"/>
    </tableStyle>
    <tableStyle count="3" pivot="0" name="MODELO LISTA DE COMPROBACION - -style 9">
      <tableStyleElement dxfId="6" type="headerRow"/>
      <tableStyleElement dxfId="7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- CU1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CRITERIO DE CALIDAD - CU 8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'MODELO LISTA DE COMPROBACION - '!$O$40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'!$N$41:$N$43</c:f>
            </c:strRef>
          </c:cat>
          <c:val>
            <c:numRef>
              <c:f>'MODELO LISTA DE COMPROBACION - '!$O$41:$O$43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CRITERIO DE CALIDAD - CU2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'MODELO LISTA DE COMPROBACION - '!$I$40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'!$H$41:$H$43</c:f>
            </c:strRef>
          </c:cat>
          <c:val>
            <c:numRef>
              <c:f>'MODELO LISTA DE COMPROBACION - '!$I$41:$I$43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43</xdr:row>
      <xdr:rowOff>180975</xdr:rowOff>
    </xdr:from>
    <xdr:ext cx="3857625" cy="2371725"/>
    <xdr:graphicFrame>
      <xdr:nvGraphicFramePr>
        <xdr:cNvPr id="105245438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523875</xdr:colOff>
      <xdr:row>43</xdr:row>
      <xdr:rowOff>180975</xdr:rowOff>
    </xdr:from>
    <xdr:ext cx="3705225" cy="2371725"/>
    <xdr:graphicFrame>
      <xdr:nvGraphicFramePr>
        <xdr:cNvPr id="165348621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371475</xdr:colOff>
      <xdr:row>43</xdr:row>
      <xdr:rowOff>180975</xdr:rowOff>
    </xdr:from>
    <xdr:ext cx="3857625" cy="2371725"/>
    <xdr:graphicFrame>
      <xdr:nvGraphicFramePr>
        <xdr:cNvPr id="1519195175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G7:J1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M7:P16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21:D26" displayName="Table_4" name="Table_4" id="4">
  <tableColumns count="4">
    <tableColumn name="No." id="1"/>
    <tableColumn name="Pregunta" id="2"/>
    <tableColumn name="SI" id="3"/>
    <tableColumn name="NO " id="4"/>
  </tableColumns>
  <tableStyleInfo name="MODELO LISTA DE COMPROBACION - -style 4" showColumnStripes="0" showFirstColumn="1" showLastColumn="1" showRowStripes="1"/>
</table>
</file>

<file path=xl/tables/table5.xml><?xml version="1.0" encoding="utf-8"?>
<table xmlns="http://schemas.openxmlformats.org/spreadsheetml/2006/main" ref="G21:J26" displayName="Table_5" name="Table_5" id="5">
  <tableColumns count="4">
    <tableColumn name="No." id="1"/>
    <tableColumn name="Pregunta" id="2"/>
    <tableColumn name="SI" id="3"/>
    <tableColumn name="NO " id="4"/>
  </tableColumns>
  <tableStyleInfo name="MODELO LISTA DE COMPROBACION - -style 5" showColumnStripes="0" showFirstColumn="1" showLastColumn="1" showRowStripes="1"/>
</table>
</file>

<file path=xl/tables/table6.xml><?xml version="1.0" encoding="utf-8"?>
<table xmlns="http://schemas.openxmlformats.org/spreadsheetml/2006/main" ref="M21:P26" displayName="Table_6" name="Table_6" id="6">
  <tableColumns count="4">
    <tableColumn name="No." id="1"/>
    <tableColumn name="Pregunta" id="2"/>
    <tableColumn name="SI" id="3"/>
    <tableColumn name="NO " id="4"/>
  </tableColumns>
  <tableStyleInfo name="MODELO LISTA DE COMPROBACION - -style 6" showColumnStripes="0" showFirstColumn="1" showLastColumn="1" showRowStripes="1"/>
</table>
</file>

<file path=xl/tables/table7.xml><?xml version="1.0" encoding="utf-8"?>
<table xmlns="http://schemas.openxmlformats.org/spreadsheetml/2006/main" ref="A31:D34" displayName="Table_7" name="Table_7" id="7">
  <tableColumns count="4">
    <tableColumn name="No." id="1"/>
    <tableColumn name="Pregunta" id="2"/>
    <tableColumn name="SI" id="3"/>
    <tableColumn name="NO " id="4"/>
  </tableColumns>
  <tableStyleInfo name="MODELO LISTA DE COMPROBACION - -style 7" showColumnStripes="0" showFirstColumn="1" showLastColumn="1" showRowStripes="1"/>
</table>
</file>

<file path=xl/tables/table8.xml><?xml version="1.0" encoding="utf-8"?>
<table xmlns="http://schemas.openxmlformats.org/spreadsheetml/2006/main" ref="G31:J34" displayName="Table_8" name="Table_8" id="8">
  <tableColumns count="4">
    <tableColumn name="No." id="1"/>
    <tableColumn name="Pregunta" id="2"/>
    <tableColumn name="SI" id="3"/>
    <tableColumn name="NO " id="4"/>
  </tableColumns>
  <tableStyleInfo name="MODELO LISTA DE COMPROBACION - -style 8" showColumnStripes="0" showFirstColumn="1" showLastColumn="1" showRowStripes="1"/>
</table>
</file>

<file path=xl/tables/table9.xml><?xml version="1.0" encoding="utf-8"?>
<table xmlns="http://schemas.openxmlformats.org/spreadsheetml/2006/main" ref="M31:P34" displayName="Table_9" name="Table_9" id="9">
  <tableColumns count="4">
    <tableColumn name="No." id="1"/>
    <tableColumn name="Pregunta" id="2"/>
    <tableColumn name="SI" id="3"/>
    <tableColumn name="NO " id="4"/>
  </tableColumns>
  <tableStyleInfo name="MODELO LISTA DE COMPROBACION - 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8" t="s">
        <v>7</v>
      </c>
      <c r="G7" s="11" t="s">
        <v>6</v>
      </c>
      <c r="H7" s="12"/>
      <c r="I7" s="13"/>
      <c r="J7" s="11"/>
      <c r="K7" s="8"/>
    </row>
    <row r="8">
      <c r="B8" s="14"/>
      <c r="C8" s="15"/>
      <c r="D8" s="16"/>
      <c r="E8" s="14"/>
      <c r="F8" s="14"/>
      <c r="G8" s="14"/>
      <c r="H8" s="12"/>
      <c r="I8" s="14"/>
      <c r="J8" s="14"/>
      <c r="K8" s="14"/>
    </row>
    <row r="9">
      <c r="B9" s="17">
        <v>1.0</v>
      </c>
      <c r="C9" s="18" t="s">
        <v>8</v>
      </c>
      <c r="D9" s="7"/>
      <c r="E9" s="19" t="s">
        <v>9</v>
      </c>
      <c r="F9" s="20" t="s">
        <v>10</v>
      </c>
      <c r="G9" s="19"/>
      <c r="H9" s="21"/>
      <c r="I9" s="20"/>
      <c r="J9" s="19"/>
      <c r="K9" s="20"/>
    </row>
    <row r="10">
      <c r="B10" s="17">
        <v>2.0</v>
      </c>
      <c r="C10" s="18" t="s">
        <v>11</v>
      </c>
      <c r="D10" s="7"/>
      <c r="E10" s="19" t="s">
        <v>9</v>
      </c>
      <c r="F10" s="22" t="s">
        <v>12</v>
      </c>
      <c r="G10" s="19"/>
      <c r="I10" s="22"/>
      <c r="J10" s="19"/>
      <c r="K10" s="22"/>
    </row>
    <row r="11">
      <c r="B11" s="17">
        <v>3.0</v>
      </c>
      <c r="C11" s="18" t="s">
        <v>13</v>
      </c>
      <c r="D11" s="7"/>
      <c r="E11" s="19" t="s">
        <v>9</v>
      </c>
      <c r="F11" s="22" t="s">
        <v>14</v>
      </c>
      <c r="G11" s="19"/>
      <c r="I11" s="22"/>
      <c r="J11" s="19"/>
      <c r="K11" s="22"/>
    </row>
    <row r="12">
      <c r="B12" s="17">
        <v>4.0</v>
      </c>
      <c r="C12" s="18" t="s">
        <v>15</v>
      </c>
      <c r="D12" s="7"/>
      <c r="E12" s="19" t="s">
        <v>9</v>
      </c>
      <c r="F12" s="23" t="s">
        <v>16</v>
      </c>
      <c r="G12" s="24"/>
      <c r="I12" s="23"/>
      <c r="J12" s="24"/>
      <c r="K12" s="23"/>
    </row>
    <row r="13">
      <c r="B13" s="17">
        <v>5.0</v>
      </c>
      <c r="C13" s="18" t="s">
        <v>17</v>
      </c>
      <c r="D13" s="7"/>
      <c r="E13" s="19" t="s">
        <v>9</v>
      </c>
      <c r="F13" s="23" t="s">
        <v>18</v>
      </c>
      <c r="G13" s="19"/>
      <c r="I13" s="23"/>
      <c r="J13" s="19"/>
      <c r="K13" s="23"/>
    </row>
    <row r="14">
      <c r="B14" s="17">
        <v>6.0</v>
      </c>
      <c r="C14" s="18" t="s">
        <v>19</v>
      </c>
      <c r="D14" s="7"/>
      <c r="E14" s="19" t="s">
        <v>9</v>
      </c>
      <c r="F14" s="23" t="s">
        <v>20</v>
      </c>
      <c r="G14" s="24"/>
      <c r="I14" s="23"/>
      <c r="J14" s="24"/>
      <c r="K14" s="23"/>
    </row>
    <row r="15">
      <c r="B15" s="17">
        <v>7.0</v>
      </c>
      <c r="C15" s="18" t="s">
        <v>21</v>
      </c>
      <c r="D15" s="7"/>
      <c r="E15" s="24" t="s">
        <v>22</v>
      </c>
      <c r="F15" s="23" t="s">
        <v>23</v>
      </c>
      <c r="G15" s="24"/>
      <c r="I15" s="23"/>
      <c r="J15" s="24"/>
      <c r="K15" s="23"/>
    </row>
    <row r="16">
      <c r="B16" s="17">
        <v>8.0</v>
      </c>
      <c r="C16" s="18" t="s">
        <v>24</v>
      </c>
      <c r="D16" s="7"/>
      <c r="E16" s="24" t="s">
        <v>22</v>
      </c>
      <c r="F16" s="23" t="s">
        <v>25</v>
      </c>
      <c r="G16" s="24"/>
      <c r="I16" s="23"/>
      <c r="J16" s="24"/>
      <c r="K16" s="23"/>
    </row>
    <row r="17">
      <c r="B17" s="17">
        <v>9.0</v>
      </c>
      <c r="C17" s="18" t="s">
        <v>26</v>
      </c>
      <c r="D17" s="7"/>
      <c r="E17" s="19" t="s">
        <v>9</v>
      </c>
      <c r="F17" s="25" t="s">
        <v>27</v>
      </c>
      <c r="G17" s="19"/>
      <c r="I17" s="25"/>
      <c r="J17" s="19"/>
      <c r="K17" s="25"/>
    </row>
    <row r="18">
      <c r="B18" s="17">
        <v>10.0</v>
      </c>
      <c r="C18" s="18" t="s">
        <v>28</v>
      </c>
      <c r="D18" s="7"/>
      <c r="E18" s="19" t="s">
        <v>9</v>
      </c>
      <c r="F18" s="23" t="s">
        <v>29</v>
      </c>
      <c r="G18" s="19"/>
      <c r="I18" s="23"/>
      <c r="J18" s="19"/>
      <c r="K18" s="23"/>
    </row>
    <row r="19">
      <c r="B19" s="17">
        <v>11.0</v>
      </c>
      <c r="C19" s="18" t="s">
        <v>30</v>
      </c>
      <c r="D19" s="7"/>
      <c r="E19" s="19" t="s">
        <v>9</v>
      </c>
      <c r="F19" s="23" t="s">
        <v>31</v>
      </c>
      <c r="G19" s="19"/>
      <c r="I19" s="23"/>
      <c r="J19" s="19"/>
      <c r="K19" s="23"/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47.14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26" t="s">
        <v>32</v>
      </c>
    </row>
    <row r="6">
      <c r="C6" s="1"/>
      <c r="F6" s="5" t="s">
        <v>3</v>
      </c>
      <c r="G6" s="6"/>
      <c r="H6" s="6"/>
      <c r="I6" s="6"/>
      <c r="J6" s="6"/>
      <c r="K6" s="7"/>
    </row>
    <row r="7">
      <c r="B7" s="27" t="s">
        <v>4</v>
      </c>
      <c r="C7" s="28" t="s">
        <v>5</v>
      </c>
      <c r="D7" s="7"/>
      <c r="E7" s="29" t="s">
        <v>6</v>
      </c>
      <c r="F7" s="30" t="s">
        <v>33</v>
      </c>
      <c r="G7" s="29" t="s">
        <v>6</v>
      </c>
      <c r="H7" s="12"/>
      <c r="I7" s="30" t="s">
        <v>34</v>
      </c>
      <c r="J7" s="29" t="s">
        <v>6</v>
      </c>
      <c r="K7" s="13" t="s">
        <v>35</v>
      </c>
    </row>
    <row r="8">
      <c r="B8" s="17">
        <v>1.0</v>
      </c>
      <c r="C8" s="18" t="s">
        <v>8</v>
      </c>
      <c r="D8" s="7"/>
      <c r="E8" s="19" t="s">
        <v>9</v>
      </c>
      <c r="F8" s="20" t="s">
        <v>10</v>
      </c>
      <c r="G8" s="19" t="s">
        <v>9</v>
      </c>
      <c r="H8" s="21"/>
      <c r="I8" s="20" t="s">
        <v>10</v>
      </c>
      <c r="J8" s="31" t="s">
        <v>9</v>
      </c>
      <c r="K8" s="20" t="s">
        <v>10</v>
      </c>
    </row>
    <row r="9">
      <c r="B9" s="17">
        <v>2.0</v>
      </c>
      <c r="C9" s="18" t="s">
        <v>11</v>
      </c>
      <c r="D9" s="7"/>
      <c r="E9" s="19" t="s">
        <v>9</v>
      </c>
      <c r="F9" s="32" t="s">
        <v>36</v>
      </c>
      <c r="G9" s="19" t="s">
        <v>9</v>
      </c>
      <c r="I9" s="32" t="s">
        <v>37</v>
      </c>
      <c r="J9" s="31" t="s">
        <v>9</v>
      </c>
      <c r="K9" s="32" t="s">
        <v>38</v>
      </c>
    </row>
    <row r="10">
      <c r="B10" s="17">
        <v>3.0</v>
      </c>
      <c r="C10" s="18" t="s">
        <v>13</v>
      </c>
      <c r="D10" s="7"/>
      <c r="E10" s="19" t="s">
        <v>9</v>
      </c>
      <c r="F10" s="32" t="s">
        <v>39</v>
      </c>
      <c r="G10" s="33" t="s">
        <v>40</v>
      </c>
      <c r="I10" s="32" t="s">
        <v>41</v>
      </c>
      <c r="J10" s="31" t="s">
        <v>9</v>
      </c>
      <c r="K10" s="34" t="s">
        <v>42</v>
      </c>
    </row>
    <row r="11">
      <c r="B11" s="17">
        <v>4.0</v>
      </c>
      <c r="C11" s="18" t="s">
        <v>15</v>
      </c>
      <c r="D11" s="7"/>
      <c r="E11" s="19" t="s">
        <v>9</v>
      </c>
      <c r="F11" s="35" t="s">
        <v>43</v>
      </c>
      <c r="G11" s="36" t="s">
        <v>40</v>
      </c>
      <c r="I11" s="35" t="s">
        <v>44</v>
      </c>
      <c r="J11" s="31" t="s">
        <v>9</v>
      </c>
      <c r="K11" s="35" t="s">
        <v>43</v>
      </c>
    </row>
    <row r="12">
      <c r="B12" s="17">
        <v>5.0</v>
      </c>
      <c r="C12" s="18" t="s">
        <v>17</v>
      </c>
      <c r="D12" s="7"/>
      <c r="E12" s="19" t="s">
        <v>9</v>
      </c>
      <c r="F12" s="35" t="s">
        <v>45</v>
      </c>
      <c r="G12" s="19" t="s">
        <v>9</v>
      </c>
      <c r="I12" s="23" t="s">
        <v>18</v>
      </c>
      <c r="J12" s="31" t="s">
        <v>9</v>
      </c>
      <c r="K12" s="34" t="s">
        <v>46</v>
      </c>
    </row>
    <row r="13">
      <c r="B13" s="17">
        <v>6.0</v>
      </c>
      <c r="C13" s="18" t="s">
        <v>19</v>
      </c>
      <c r="D13" s="7"/>
      <c r="E13" s="19" t="s">
        <v>9</v>
      </c>
      <c r="F13" s="35" t="s">
        <v>47</v>
      </c>
      <c r="G13" s="19" t="s">
        <v>9</v>
      </c>
      <c r="I13" s="23" t="s">
        <v>20</v>
      </c>
      <c r="J13" s="31" t="s">
        <v>9</v>
      </c>
      <c r="K13" s="34" t="s">
        <v>48</v>
      </c>
    </row>
    <row r="14">
      <c r="B14" s="17">
        <v>7.0</v>
      </c>
      <c r="C14" s="18" t="s">
        <v>21</v>
      </c>
      <c r="D14" s="7"/>
      <c r="E14" s="24" t="s">
        <v>22</v>
      </c>
      <c r="F14" s="35" t="s">
        <v>49</v>
      </c>
      <c r="G14" s="36" t="s">
        <v>40</v>
      </c>
      <c r="I14" s="35" t="s">
        <v>50</v>
      </c>
      <c r="J14" s="24" t="s">
        <v>22</v>
      </c>
      <c r="K14" s="35" t="s">
        <v>51</v>
      </c>
    </row>
    <row r="15">
      <c r="B15" s="17">
        <v>8.0</v>
      </c>
      <c r="C15" s="18" t="s">
        <v>24</v>
      </c>
      <c r="D15" s="7"/>
      <c r="E15" s="31" t="s">
        <v>9</v>
      </c>
      <c r="F15" s="35" t="s">
        <v>52</v>
      </c>
      <c r="G15" s="31" t="s">
        <v>9</v>
      </c>
      <c r="I15" s="35" t="s">
        <v>53</v>
      </c>
      <c r="J15" s="24" t="s">
        <v>22</v>
      </c>
      <c r="K15" s="35" t="s">
        <v>54</v>
      </c>
    </row>
    <row r="16">
      <c r="B16" s="17">
        <v>9.0</v>
      </c>
      <c r="C16" s="18" t="s">
        <v>26</v>
      </c>
      <c r="D16" s="7"/>
      <c r="E16" s="19" t="s">
        <v>9</v>
      </c>
      <c r="F16" s="37" t="s">
        <v>55</v>
      </c>
      <c r="G16" s="19" t="s">
        <v>9</v>
      </c>
      <c r="I16" s="37" t="s">
        <v>56</v>
      </c>
      <c r="J16" s="31" t="s">
        <v>9</v>
      </c>
      <c r="K16" s="37" t="s">
        <v>57</v>
      </c>
    </row>
    <row r="17">
      <c r="B17" s="17">
        <v>10.0</v>
      </c>
      <c r="C17" s="18" t="s">
        <v>28</v>
      </c>
      <c r="D17" s="7"/>
      <c r="E17" s="19" t="s">
        <v>9</v>
      </c>
      <c r="F17" s="35" t="s">
        <v>58</v>
      </c>
      <c r="G17" s="19" t="s">
        <v>9</v>
      </c>
      <c r="I17" s="35" t="s">
        <v>59</v>
      </c>
      <c r="J17" s="31" t="s">
        <v>9</v>
      </c>
      <c r="K17" s="35" t="s">
        <v>60</v>
      </c>
    </row>
    <row r="18">
      <c r="B18" s="17">
        <v>11.0</v>
      </c>
      <c r="C18" s="18" t="s">
        <v>30</v>
      </c>
      <c r="D18" s="7"/>
      <c r="E18" s="19" t="s">
        <v>9</v>
      </c>
      <c r="F18" s="23" t="s">
        <v>31</v>
      </c>
      <c r="G18" s="19"/>
      <c r="I18" s="23"/>
      <c r="J18" s="31" t="s">
        <v>9</v>
      </c>
      <c r="K18" s="35" t="s">
        <v>61</v>
      </c>
    </row>
    <row r="19" ht="14.25" customHeight="1">
      <c r="C19" s="1"/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C12:D12"/>
    <mergeCell ref="C13:D13"/>
    <mergeCell ref="C14:D14"/>
    <mergeCell ref="C15:D15"/>
    <mergeCell ref="C16:D16"/>
    <mergeCell ref="C17:D17"/>
    <mergeCell ref="C18:D18"/>
    <mergeCell ref="C11:D11"/>
    <mergeCell ref="C3:K4"/>
    <mergeCell ref="E5:K5"/>
    <mergeCell ref="F6:K6"/>
    <mergeCell ref="C7:D7"/>
    <mergeCell ref="C8:D8"/>
    <mergeCell ref="C9:D9"/>
    <mergeCell ref="C10:D10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57"/>
    <col customWidth="1" min="3" max="3" width="16.14"/>
    <col customWidth="1" min="4" max="6" width="10.71"/>
    <col customWidth="1" min="7" max="7" width="11.86"/>
    <col customWidth="1" min="8" max="8" width="36.71"/>
    <col customWidth="1" min="9" max="12" width="10.71"/>
    <col customWidth="1" min="13" max="13" width="11.57"/>
    <col customWidth="1" min="14" max="14" width="36.71"/>
    <col customWidth="1" min="15" max="25" width="10.71"/>
  </cols>
  <sheetData>
    <row r="1">
      <c r="A1" s="38" t="s">
        <v>1</v>
      </c>
      <c r="B1" s="39" t="s">
        <v>62</v>
      </c>
      <c r="C1" s="6"/>
      <c r="D1" s="7"/>
      <c r="E1" s="40"/>
      <c r="F1" s="40"/>
      <c r="G1" s="38" t="s">
        <v>1</v>
      </c>
      <c r="H1" s="39" t="s">
        <v>62</v>
      </c>
      <c r="I1" s="6"/>
      <c r="J1" s="7"/>
      <c r="K1" s="40"/>
      <c r="L1" s="40"/>
      <c r="M1" s="38" t="s">
        <v>1</v>
      </c>
      <c r="N1" s="39" t="s">
        <v>62</v>
      </c>
      <c r="O1" s="6"/>
      <c r="P1" s="7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41" t="s">
        <v>63</v>
      </c>
      <c r="B2" s="42">
        <v>46126.0</v>
      </c>
      <c r="C2" s="6"/>
      <c r="D2" s="7"/>
      <c r="G2" s="41" t="s">
        <v>63</v>
      </c>
      <c r="H2" s="42">
        <v>46126.0</v>
      </c>
      <c r="I2" s="6"/>
      <c r="J2" s="7"/>
      <c r="M2" s="41" t="s">
        <v>63</v>
      </c>
      <c r="N2" s="42">
        <v>46126.0</v>
      </c>
      <c r="O2" s="6"/>
      <c r="P2" s="7"/>
    </row>
    <row r="3">
      <c r="A3" s="41" t="s">
        <v>64</v>
      </c>
      <c r="B3" s="43" t="s">
        <v>65</v>
      </c>
      <c r="C3" s="6"/>
      <c r="D3" s="7"/>
      <c r="G3" s="41" t="s">
        <v>64</v>
      </c>
      <c r="H3" s="43" t="s">
        <v>65</v>
      </c>
      <c r="I3" s="6"/>
      <c r="J3" s="7"/>
      <c r="M3" s="41" t="s">
        <v>64</v>
      </c>
      <c r="N3" s="43" t="s">
        <v>65</v>
      </c>
      <c r="O3" s="6"/>
      <c r="P3" s="7"/>
    </row>
    <row r="4">
      <c r="A4" s="44" t="s">
        <v>66</v>
      </c>
      <c r="B4" s="7"/>
      <c r="C4" s="43" t="s">
        <v>67</v>
      </c>
      <c r="D4" s="7"/>
      <c r="G4" s="45" t="s">
        <v>66</v>
      </c>
      <c r="H4" s="7"/>
      <c r="I4" s="46" t="s">
        <v>34</v>
      </c>
      <c r="J4" s="7"/>
      <c r="M4" s="45" t="s">
        <v>66</v>
      </c>
      <c r="N4" s="7"/>
      <c r="O4" s="46" t="s">
        <v>35</v>
      </c>
      <c r="P4" s="7"/>
    </row>
    <row r="5">
      <c r="G5" s="47"/>
      <c r="H5" s="47"/>
      <c r="I5" s="47"/>
      <c r="J5" s="48"/>
      <c r="M5" s="47"/>
      <c r="N5" s="47"/>
      <c r="O5" s="47"/>
      <c r="P5" s="47"/>
    </row>
    <row r="6">
      <c r="A6" s="49" t="s">
        <v>68</v>
      </c>
      <c r="G6" s="50" t="s">
        <v>68</v>
      </c>
      <c r="M6" s="50" t="s">
        <v>68</v>
      </c>
    </row>
    <row r="7">
      <c r="A7" s="51" t="s">
        <v>69</v>
      </c>
      <c r="B7" s="52" t="s">
        <v>70</v>
      </c>
      <c r="C7" s="52" t="s">
        <v>71</v>
      </c>
      <c r="D7" s="53" t="s">
        <v>72</v>
      </c>
      <c r="G7" s="54" t="s">
        <v>69</v>
      </c>
      <c r="H7" s="55" t="s">
        <v>70</v>
      </c>
      <c r="I7" s="55" t="s">
        <v>71</v>
      </c>
      <c r="J7" s="56" t="s">
        <v>72</v>
      </c>
      <c r="M7" s="54" t="s">
        <v>69</v>
      </c>
      <c r="N7" s="55" t="s">
        <v>70</v>
      </c>
      <c r="O7" s="55" t="s">
        <v>71</v>
      </c>
      <c r="P7" s="56" t="s">
        <v>72</v>
      </c>
    </row>
    <row r="8">
      <c r="A8" s="57">
        <v>1.0</v>
      </c>
      <c r="B8" s="58" t="s">
        <v>73</v>
      </c>
      <c r="C8" s="59" t="s">
        <v>74</v>
      </c>
      <c r="D8" s="60"/>
      <c r="G8" s="61">
        <v>1.0</v>
      </c>
      <c r="H8" s="62" t="s">
        <v>73</v>
      </c>
      <c r="I8" s="59" t="s">
        <v>74</v>
      </c>
      <c r="J8" s="63"/>
      <c r="M8" s="61">
        <v>1.0</v>
      </c>
      <c r="N8" s="62" t="s">
        <v>73</v>
      </c>
      <c r="O8" s="59" t="s">
        <v>74</v>
      </c>
      <c r="P8" s="63"/>
    </row>
    <row r="9">
      <c r="A9" s="57">
        <v>2.0</v>
      </c>
      <c r="B9" s="58" t="s">
        <v>75</v>
      </c>
      <c r="C9" s="59"/>
      <c r="D9" s="64" t="s">
        <v>76</v>
      </c>
      <c r="G9" s="65">
        <v>2.0</v>
      </c>
      <c r="H9" s="66" t="s">
        <v>75</v>
      </c>
      <c r="I9" s="59" t="s">
        <v>74</v>
      </c>
      <c r="J9" s="67"/>
      <c r="M9" s="65">
        <v>2.0</v>
      </c>
      <c r="N9" s="66" t="s">
        <v>75</v>
      </c>
      <c r="O9" s="68"/>
      <c r="P9" s="59" t="s">
        <v>74</v>
      </c>
    </row>
    <row r="10">
      <c r="A10" s="57">
        <v>3.0</v>
      </c>
      <c r="B10" s="58" t="s">
        <v>77</v>
      </c>
      <c r="C10" s="59" t="s">
        <v>74</v>
      </c>
      <c r="D10" s="60"/>
      <c r="G10" s="61">
        <v>3.0</v>
      </c>
      <c r="H10" s="62" t="s">
        <v>77</v>
      </c>
      <c r="I10" s="68"/>
      <c r="J10" s="59" t="s">
        <v>74</v>
      </c>
      <c r="M10" s="61">
        <v>3.0</v>
      </c>
      <c r="N10" s="62" t="s">
        <v>77</v>
      </c>
      <c r="O10" s="59" t="s">
        <v>74</v>
      </c>
      <c r="P10" s="59"/>
    </row>
    <row r="11">
      <c r="A11" s="57">
        <v>4.0</v>
      </c>
      <c r="B11" s="58" t="s">
        <v>78</v>
      </c>
      <c r="C11" s="59" t="s">
        <v>74</v>
      </c>
      <c r="D11" s="60"/>
      <c r="G11" s="65">
        <v>4.0</v>
      </c>
      <c r="H11" s="66" t="s">
        <v>78</v>
      </c>
      <c r="I11" s="59" t="s">
        <v>74</v>
      </c>
      <c r="J11" s="67"/>
      <c r="M11" s="65">
        <v>4.0</v>
      </c>
      <c r="N11" s="66" t="s">
        <v>78</v>
      </c>
      <c r="O11" s="59" t="s">
        <v>74</v>
      </c>
      <c r="P11" s="59"/>
    </row>
    <row r="12">
      <c r="A12" s="57">
        <v>5.0</v>
      </c>
      <c r="B12" s="58" t="s">
        <v>79</v>
      </c>
      <c r="C12" s="59" t="s">
        <v>74</v>
      </c>
      <c r="D12" s="60"/>
      <c r="G12" s="61">
        <v>5.0</v>
      </c>
      <c r="H12" s="62" t="s">
        <v>79</v>
      </c>
      <c r="I12" s="59" t="s">
        <v>74</v>
      </c>
      <c r="J12" s="63"/>
      <c r="M12" s="61">
        <v>5.0</v>
      </c>
      <c r="N12" s="62" t="s">
        <v>79</v>
      </c>
      <c r="O12" s="59" t="s">
        <v>74</v>
      </c>
      <c r="P12" s="59"/>
    </row>
    <row r="13">
      <c r="A13" s="57">
        <v>6.0</v>
      </c>
      <c r="B13" s="58" t="s">
        <v>80</v>
      </c>
      <c r="C13" s="59" t="s">
        <v>74</v>
      </c>
      <c r="D13" s="60"/>
      <c r="G13" s="65">
        <v>6.0</v>
      </c>
      <c r="H13" s="66" t="s">
        <v>80</v>
      </c>
      <c r="I13" s="59" t="s">
        <v>74</v>
      </c>
      <c r="J13" s="67"/>
      <c r="M13" s="65">
        <v>6.0</v>
      </c>
      <c r="N13" s="66" t="s">
        <v>80</v>
      </c>
      <c r="O13" s="59" t="s">
        <v>74</v>
      </c>
      <c r="P13" s="59"/>
    </row>
    <row r="14">
      <c r="A14" s="57">
        <v>7.0</v>
      </c>
      <c r="B14" s="58" t="s">
        <v>81</v>
      </c>
      <c r="C14" s="59" t="s">
        <v>74</v>
      </c>
      <c r="D14" s="60"/>
      <c r="G14" s="61">
        <v>7.0</v>
      </c>
      <c r="H14" s="62" t="s">
        <v>81</v>
      </c>
      <c r="I14" s="59" t="s">
        <v>74</v>
      </c>
      <c r="J14" s="63"/>
      <c r="M14" s="61">
        <v>7.0</v>
      </c>
      <c r="N14" s="62" t="s">
        <v>81</v>
      </c>
      <c r="O14" s="59" t="s">
        <v>74</v>
      </c>
      <c r="P14" s="59"/>
    </row>
    <row r="15">
      <c r="A15" s="57">
        <v>8.0</v>
      </c>
      <c r="B15" s="58" t="s">
        <v>82</v>
      </c>
      <c r="C15" s="59" t="s">
        <v>74</v>
      </c>
      <c r="D15" s="60"/>
      <c r="G15" s="65">
        <v>8.0</v>
      </c>
      <c r="H15" s="66" t="s">
        <v>82</v>
      </c>
      <c r="I15" s="59" t="s">
        <v>74</v>
      </c>
      <c r="J15" s="67"/>
      <c r="M15" s="65">
        <v>8.0</v>
      </c>
      <c r="N15" s="66" t="s">
        <v>82</v>
      </c>
      <c r="O15" s="59" t="s">
        <v>74</v>
      </c>
      <c r="P15" s="67"/>
    </row>
    <row r="16">
      <c r="A16" s="69">
        <v>9.0</v>
      </c>
      <c r="B16" s="70" t="s">
        <v>83</v>
      </c>
      <c r="C16" s="71" t="s">
        <v>76</v>
      </c>
      <c r="D16" s="72"/>
      <c r="G16" s="73">
        <v>9.0</v>
      </c>
      <c r="H16" s="74" t="s">
        <v>83</v>
      </c>
      <c r="I16" s="75"/>
      <c r="J16" s="59" t="s">
        <v>74</v>
      </c>
      <c r="M16" s="73">
        <v>9.0</v>
      </c>
      <c r="N16" s="74" t="s">
        <v>83</v>
      </c>
      <c r="O16" s="75"/>
      <c r="P16" s="59" t="s">
        <v>74</v>
      </c>
    </row>
    <row r="17">
      <c r="A17" s="76" t="s">
        <v>84</v>
      </c>
      <c r="C17" s="21">
        <f>COUNTA('MODELO LISTA DE COMPROBACION - '!$C$8:$C$16)</f>
        <v>8</v>
      </c>
      <c r="D17" s="21">
        <f>COUNTA('MODELO LISTA DE COMPROBACION - '!$D$8:$D$16)</f>
        <v>1</v>
      </c>
      <c r="G17" s="77" t="s">
        <v>84</v>
      </c>
      <c r="I17" s="78">
        <v>7.0</v>
      </c>
      <c r="J17" s="78">
        <v>2.0</v>
      </c>
      <c r="M17" s="77" t="s">
        <v>84</v>
      </c>
      <c r="O17" s="78">
        <v>7.0</v>
      </c>
      <c r="P17" s="78">
        <v>2.0</v>
      </c>
    </row>
    <row r="18">
      <c r="A18" s="76" t="s">
        <v>85</v>
      </c>
      <c r="C18" s="79">
        <f t="shared" ref="C18:D18" si="1">C17/9</f>
        <v>0.8888888889</v>
      </c>
      <c r="D18" s="79">
        <f t="shared" si="1"/>
        <v>0.1111111111</v>
      </c>
      <c r="G18" s="77" t="s">
        <v>85</v>
      </c>
      <c r="I18" s="80">
        <f t="shared" ref="I18:J18" si="2">I17/9</f>
        <v>0.7777777778</v>
      </c>
      <c r="J18" s="80">
        <f t="shared" si="2"/>
        <v>0.2222222222</v>
      </c>
      <c r="M18" s="77" t="s">
        <v>85</v>
      </c>
      <c r="O18" s="80">
        <f t="shared" ref="O18:P18" si="3">O17/9</f>
        <v>0.7777777778</v>
      </c>
      <c r="P18" s="80">
        <f t="shared" si="3"/>
        <v>0.2222222222</v>
      </c>
    </row>
    <row r="19">
      <c r="A19" s="76"/>
      <c r="B19" s="76"/>
      <c r="C19" s="79"/>
      <c r="D19" s="21"/>
      <c r="G19" s="81"/>
      <c r="H19" s="81"/>
      <c r="I19" s="82"/>
      <c r="J19" s="47"/>
      <c r="M19" s="81"/>
      <c r="N19" s="81"/>
      <c r="O19" s="82"/>
      <c r="P19" s="47"/>
    </row>
    <row r="20">
      <c r="A20" s="83" t="s">
        <v>86</v>
      </c>
      <c r="B20" s="84"/>
      <c r="C20" s="84"/>
      <c r="D20" s="84"/>
      <c r="G20" s="85" t="s">
        <v>86</v>
      </c>
      <c r="H20" s="84"/>
      <c r="I20" s="84"/>
      <c r="J20" s="84"/>
      <c r="M20" s="85" t="s">
        <v>86</v>
      </c>
      <c r="N20" s="84"/>
      <c r="O20" s="84"/>
      <c r="P20" s="84"/>
    </row>
    <row r="21">
      <c r="A21" s="86" t="s">
        <v>69</v>
      </c>
      <c r="B21" s="87" t="s">
        <v>70</v>
      </c>
      <c r="C21" s="88" t="s">
        <v>71</v>
      </c>
      <c r="D21" s="89" t="s">
        <v>72</v>
      </c>
      <c r="G21" s="90" t="s">
        <v>69</v>
      </c>
      <c r="H21" s="91" t="s">
        <v>70</v>
      </c>
      <c r="I21" s="92" t="s">
        <v>71</v>
      </c>
      <c r="J21" s="93" t="s">
        <v>72</v>
      </c>
      <c r="M21" s="90" t="s">
        <v>69</v>
      </c>
      <c r="N21" s="91" t="s">
        <v>70</v>
      </c>
      <c r="O21" s="92" t="s">
        <v>71</v>
      </c>
      <c r="P21" s="93" t="s">
        <v>72</v>
      </c>
    </row>
    <row r="22">
      <c r="A22" s="57">
        <v>1.0</v>
      </c>
      <c r="B22" s="58" t="s">
        <v>87</v>
      </c>
      <c r="C22" s="72" t="s">
        <v>74</v>
      </c>
      <c r="D22" s="60"/>
      <c r="G22" s="94">
        <v>1.0</v>
      </c>
      <c r="H22" s="95" t="s">
        <v>87</v>
      </c>
      <c r="I22" s="59" t="s">
        <v>74</v>
      </c>
      <c r="J22" s="96"/>
      <c r="M22" s="94">
        <v>1.0</v>
      </c>
      <c r="N22" s="95" t="s">
        <v>87</v>
      </c>
      <c r="O22" s="59" t="s">
        <v>74</v>
      </c>
      <c r="P22" s="96"/>
    </row>
    <row r="23">
      <c r="A23" s="57">
        <v>2.0</v>
      </c>
      <c r="B23" s="58" t="s">
        <v>88</v>
      </c>
      <c r="C23" s="72" t="s">
        <v>74</v>
      </c>
      <c r="D23" s="60"/>
      <c r="G23" s="65">
        <v>2.0</v>
      </c>
      <c r="H23" s="66" t="s">
        <v>88</v>
      </c>
      <c r="I23" s="59" t="s">
        <v>74</v>
      </c>
      <c r="J23" s="67"/>
      <c r="M23" s="65">
        <v>2.0</v>
      </c>
      <c r="N23" s="66" t="s">
        <v>88</v>
      </c>
      <c r="O23" s="59" t="s">
        <v>74</v>
      </c>
      <c r="P23" s="67"/>
    </row>
    <row r="24">
      <c r="A24" s="57">
        <v>3.0</v>
      </c>
      <c r="B24" s="58" t="s">
        <v>89</v>
      </c>
      <c r="C24" s="72" t="s">
        <v>74</v>
      </c>
      <c r="D24" s="60"/>
      <c r="G24" s="94">
        <v>3.0</v>
      </c>
      <c r="H24" s="95" t="s">
        <v>89</v>
      </c>
      <c r="I24" s="59" t="s">
        <v>74</v>
      </c>
      <c r="J24" s="96"/>
      <c r="M24" s="94">
        <v>3.0</v>
      </c>
      <c r="N24" s="95" t="s">
        <v>89</v>
      </c>
      <c r="O24" s="59" t="s">
        <v>74</v>
      </c>
      <c r="P24" s="96"/>
    </row>
    <row r="25">
      <c r="A25" s="57">
        <v>4.0</v>
      </c>
      <c r="B25" s="58" t="s">
        <v>90</v>
      </c>
      <c r="C25" s="72" t="s">
        <v>74</v>
      </c>
      <c r="D25" s="60"/>
      <c r="G25" s="65">
        <v>4.0</v>
      </c>
      <c r="H25" s="66" t="s">
        <v>90</v>
      </c>
      <c r="I25" s="59" t="s">
        <v>74</v>
      </c>
      <c r="J25" s="67"/>
      <c r="M25" s="65">
        <v>4.0</v>
      </c>
      <c r="N25" s="66" t="s">
        <v>90</v>
      </c>
      <c r="O25" s="59" t="s">
        <v>74</v>
      </c>
      <c r="P25" s="67"/>
    </row>
    <row r="26">
      <c r="A26" s="69">
        <v>5.0</v>
      </c>
      <c r="B26" s="70" t="s">
        <v>91</v>
      </c>
      <c r="C26" s="72" t="s">
        <v>74</v>
      </c>
      <c r="D26" s="97"/>
      <c r="G26" s="98">
        <v>5.0</v>
      </c>
      <c r="H26" s="99" t="s">
        <v>91</v>
      </c>
      <c r="I26" s="59" t="s">
        <v>74</v>
      </c>
      <c r="J26" s="100"/>
      <c r="M26" s="98">
        <v>5.0</v>
      </c>
      <c r="N26" s="99" t="s">
        <v>91</v>
      </c>
      <c r="O26" s="59" t="s">
        <v>74</v>
      </c>
      <c r="P26" s="100"/>
    </row>
    <row r="27">
      <c r="A27" s="76" t="s">
        <v>84</v>
      </c>
      <c r="C27" s="21">
        <f>COUNTA('MODELO LISTA DE COMPROBACION - '!$C$22:$C$26)</f>
        <v>5</v>
      </c>
      <c r="D27" s="21">
        <f>COUNTA('MODELO LISTA DE COMPROBACION - '!$D$22:$D$26)</f>
        <v>0</v>
      </c>
      <c r="G27" s="77" t="s">
        <v>84</v>
      </c>
      <c r="I27" s="101">
        <f>COUNTA('MODELO LISTA DE COMPROBACION - '!$C$22:$C$26)</f>
        <v>5</v>
      </c>
      <c r="J27" s="101">
        <f>COUNTA('MODELO LISTA DE COMPROBACION - '!$D$22:$D$26)</f>
        <v>0</v>
      </c>
      <c r="M27" s="77" t="s">
        <v>84</v>
      </c>
      <c r="O27" s="101">
        <f>COUNTA('MODELO LISTA DE COMPROBACION - '!$C$22:$C$26)</f>
        <v>5</v>
      </c>
      <c r="P27" s="101">
        <f>COUNTA('MODELO LISTA DE COMPROBACION - '!$D$22:$D$26)</f>
        <v>0</v>
      </c>
    </row>
    <row r="28">
      <c r="A28" s="76" t="s">
        <v>85</v>
      </c>
      <c r="C28" s="79">
        <f t="shared" ref="C28:D28" si="4">C27/5</f>
        <v>1</v>
      </c>
      <c r="D28" s="79">
        <f t="shared" si="4"/>
        <v>0</v>
      </c>
      <c r="G28" s="77" t="s">
        <v>85</v>
      </c>
      <c r="I28" s="80">
        <f t="shared" ref="I28:J28" si="5">I27/5</f>
        <v>1</v>
      </c>
      <c r="J28" s="80">
        <f t="shared" si="5"/>
        <v>0</v>
      </c>
      <c r="M28" s="77" t="s">
        <v>85</v>
      </c>
      <c r="O28" s="80">
        <f t="shared" ref="O28:P28" si="6">O27/5</f>
        <v>1</v>
      </c>
      <c r="P28" s="80">
        <f t="shared" si="6"/>
        <v>0</v>
      </c>
    </row>
    <row r="29">
      <c r="A29" s="76"/>
      <c r="B29" s="76"/>
      <c r="C29" s="79"/>
      <c r="D29" s="21"/>
      <c r="G29" s="81"/>
      <c r="H29" s="81"/>
      <c r="I29" s="82"/>
      <c r="J29" s="47"/>
      <c r="M29" s="81"/>
      <c r="N29" s="81"/>
      <c r="O29" s="82"/>
      <c r="P29" s="47"/>
    </row>
    <row r="30">
      <c r="A30" s="49" t="s">
        <v>92</v>
      </c>
      <c r="G30" s="50" t="s">
        <v>92</v>
      </c>
      <c r="M30" s="50" t="s">
        <v>92</v>
      </c>
    </row>
    <row r="31">
      <c r="A31" s="86" t="s">
        <v>69</v>
      </c>
      <c r="B31" s="87" t="s">
        <v>70</v>
      </c>
      <c r="C31" s="88" t="s">
        <v>71</v>
      </c>
      <c r="D31" s="89" t="s">
        <v>72</v>
      </c>
      <c r="G31" s="102" t="s">
        <v>69</v>
      </c>
      <c r="H31" s="103" t="s">
        <v>70</v>
      </c>
      <c r="I31" s="104" t="s">
        <v>71</v>
      </c>
      <c r="J31" s="105" t="s">
        <v>72</v>
      </c>
      <c r="M31" s="102" t="s">
        <v>69</v>
      </c>
      <c r="N31" s="103" t="s">
        <v>70</v>
      </c>
      <c r="O31" s="104" t="s">
        <v>71</v>
      </c>
      <c r="P31" s="105" t="s">
        <v>72</v>
      </c>
    </row>
    <row r="32">
      <c r="A32" s="57">
        <v>1.0</v>
      </c>
      <c r="B32" s="58" t="s">
        <v>93</v>
      </c>
      <c r="C32" s="72" t="s">
        <v>74</v>
      </c>
      <c r="D32" s="72"/>
      <c r="G32" s="106">
        <v>1.0</v>
      </c>
      <c r="H32" s="107" t="s">
        <v>93</v>
      </c>
      <c r="I32" s="59" t="s">
        <v>74</v>
      </c>
      <c r="J32" s="108"/>
      <c r="M32" s="106">
        <v>1.0</v>
      </c>
      <c r="N32" s="107" t="s">
        <v>93</v>
      </c>
      <c r="O32" s="59" t="s">
        <v>74</v>
      </c>
      <c r="P32" s="108"/>
    </row>
    <row r="33">
      <c r="A33" s="57">
        <v>2.0</v>
      </c>
      <c r="B33" s="58" t="s">
        <v>94</v>
      </c>
      <c r="C33" s="72" t="s">
        <v>74</v>
      </c>
      <c r="D33" s="72"/>
      <c r="G33" s="65">
        <v>2.0</v>
      </c>
      <c r="H33" s="66" t="s">
        <v>94</v>
      </c>
      <c r="I33" s="59" t="s">
        <v>74</v>
      </c>
      <c r="J33" s="109"/>
      <c r="M33" s="65">
        <v>2.0</v>
      </c>
      <c r="N33" s="66" t="s">
        <v>94</v>
      </c>
      <c r="O33" s="59" t="s">
        <v>74</v>
      </c>
      <c r="P33" s="109"/>
    </row>
    <row r="34">
      <c r="A34" s="69">
        <v>3.0</v>
      </c>
      <c r="B34" s="70" t="s">
        <v>95</v>
      </c>
      <c r="C34" s="72" t="s">
        <v>76</v>
      </c>
      <c r="D34" s="71"/>
      <c r="G34" s="110">
        <v>3.0</v>
      </c>
      <c r="H34" s="111" t="s">
        <v>95</v>
      </c>
      <c r="I34" s="112"/>
      <c r="J34" s="59" t="s">
        <v>74</v>
      </c>
      <c r="M34" s="110">
        <v>3.0</v>
      </c>
      <c r="N34" s="111" t="s">
        <v>95</v>
      </c>
      <c r="O34" s="59" t="s">
        <v>74</v>
      </c>
      <c r="P34" s="108"/>
    </row>
    <row r="35">
      <c r="A35" s="76" t="s">
        <v>84</v>
      </c>
      <c r="C35" s="21">
        <f>COUNTA('MODELO LISTA DE COMPROBACION - '!$C$32:$C$34)</f>
        <v>3</v>
      </c>
      <c r="D35" s="21">
        <f>COUNTA('MODELO LISTA DE COMPROBACION - '!$D$32:$D$34)</f>
        <v>0</v>
      </c>
      <c r="G35" s="77" t="s">
        <v>84</v>
      </c>
      <c r="I35" s="78">
        <v>2.0</v>
      </c>
      <c r="J35" s="78">
        <v>1.0</v>
      </c>
      <c r="M35" s="77" t="s">
        <v>84</v>
      </c>
      <c r="O35" s="101">
        <f>COUNTA('MODELO LISTA DE COMPROBACION - '!$C$32:$C$34)</f>
        <v>3</v>
      </c>
      <c r="P35" s="101">
        <f>COUNTA('MODELO LISTA DE COMPROBACION - '!$D$32:$D$34)</f>
        <v>0</v>
      </c>
    </row>
    <row r="36">
      <c r="A36" s="76" t="s">
        <v>85</v>
      </c>
      <c r="C36" s="79">
        <f t="shared" ref="C36:D36" si="7">C35/3</f>
        <v>1</v>
      </c>
      <c r="D36" s="79">
        <f t="shared" si="7"/>
        <v>0</v>
      </c>
      <c r="G36" s="77" t="s">
        <v>85</v>
      </c>
      <c r="I36" s="80">
        <f t="shared" ref="I36:J36" si="8">I35/3</f>
        <v>0.6666666667</v>
      </c>
      <c r="J36" s="80">
        <f t="shared" si="8"/>
        <v>0.3333333333</v>
      </c>
      <c r="M36" s="77" t="s">
        <v>85</v>
      </c>
      <c r="O36" s="80">
        <f t="shared" ref="O36:P36" si="9">O35/3</f>
        <v>1</v>
      </c>
      <c r="P36" s="80">
        <f t="shared" si="9"/>
        <v>0</v>
      </c>
    </row>
    <row r="37">
      <c r="G37" s="47"/>
      <c r="H37" s="47"/>
      <c r="I37" s="47"/>
      <c r="J37" s="47"/>
      <c r="M37" s="47"/>
      <c r="N37" s="47"/>
      <c r="O37" s="47"/>
      <c r="P37" s="47"/>
    </row>
    <row r="38">
      <c r="G38" s="47"/>
      <c r="H38" s="47"/>
      <c r="I38" s="47"/>
      <c r="J38" s="47"/>
      <c r="M38" s="47"/>
      <c r="N38" s="47"/>
      <c r="O38" s="47"/>
      <c r="P38" s="47"/>
    </row>
    <row r="39">
      <c r="G39" s="47"/>
      <c r="H39" s="47"/>
      <c r="I39" s="47"/>
      <c r="J39" s="47"/>
      <c r="M39" s="47"/>
      <c r="N39" s="47"/>
      <c r="O39" s="47"/>
      <c r="P39" s="47"/>
    </row>
    <row r="40">
      <c r="A40" s="113" t="s">
        <v>96</v>
      </c>
      <c r="G40" s="114" t="s">
        <v>96</v>
      </c>
      <c r="J40" s="47"/>
      <c r="N40" s="114" t="s">
        <v>96</v>
      </c>
      <c r="P40" s="47"/>
    </row>
    <row r="41">
      <c r="B41" s="40" t="s">
        <v>97</v>
      </c>
      <c r="C41" s="21">
        <v>89.0</v>
      </c>
      <c r="G41" s="47"/>
      <c r="H41" s="115" t="s">
        <v>97</v>
      </c>
      <c r="I41" s="78">
        <v>78.0</v>
      </c>
      <c r="J41" s="47"/>
      <c r="M41" s="47"/>
      <c r="N41" s="115" t="s">
        <v>97</v>
      </c>
      <c r="O41" s="78">
        <v>78.0</v>
      </c>
      <c r="P41" s="47"/>
    </row>
    <row r="42">
      <c r="B42" s="40" t="s">
        <v>86</v>
      </c>
      <c r="C42" s="21">
        <v>100.0</v>
      </c>
      <c r="G42" s="47"/>
      <c r="H42" s="115" t="s">
        <v>86</v>
      </c>
      <c r="I42" s="101">
        <v>100.0</v>
      </c>
      <c r="J42" s="47"/>
      <c r="M42" s="47"/>
      <c r="N42" s="115" t="s">
        <v>86</v>
      </c>
      <c r="O42" s="101">
        <v>100.0</v>
      </c>
      <c r="P42" s="47"/>
    </row>
    <row r="43">
      <c r="B43" s="40" t="s">
        <v>92</v>
      </c>
      <c r="C43" s="21">
        <v>100.0</v>
      </c>
      <c r="G43" s="47"/>
      <c r="H43" s="115" t="s">
        <v>92</v>
      </c>
      <c r="I43" s="78">
        <v>67.0</v>
      </c>
      <c r="J43" s="47"/>
      <c r="M43" s="47"/>
      <c r="N43" s="115" t="s">
        <v>92</v>
      </c>
      <c r="O43" s="101">
        <v>100.0</v>
      </c>
      <c r="P43" s="47"/>
    </row>
    <row r="44">
      <c r="C44" s="21"/>
      <c r="G44" s="47"/>
      <c r="H44" s="47"/>
      <c r="I44" s="47"/>
      <c r="J44" s="47"/>
      <c r="M44" s="47"/>
      <c r="N44" s="47"/>
      <c r="O44" s="47"/>
      <c r="P44" s="47"/>
    </row>
    <row r="45">
      <c r="C45" s="21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O4:P4"/>
    <mergeCell ref="J5:K5"/>
    <mergeCell ref="M4:N4"/>
    <mergeCell ref="A18:B18"/>
    <mergeCell ref="A20:D20"/>
    <mergeCell ref="G20:J20"/>
    <mergeCell ref="A27:B27"/>
    <mergeCell ref="G27:H27"/>
    <mergeCell ref="A28:B28"/>
    <mergeCell ref="G28:H28"/>
    <mergeCell ref="C4:D4"/>
    <mergeCell ref="A4:B4"/>
    <mergeCell ref="A6:D6"/>
    <mergeCell ref="G6:J6"/>
    <mergeCell ref="A17:B17"/>
    <mergeCell ref="G17:H17"/>
    <mergeCell ref="G18:H18"/>
    <mergeCell ref="H3:J3"/>
    <mergeCell ref="B3:D3"/>
    <mergeCell ref="M6:P6"/>
    <mergeCell ref="M17:N17"/>
    <mergeCell ref="M18:N18"/>
    <mergeCell ref="M20:P20"/>
    <mergeCell ref="M27:N27"/>
    <mergeCell ref="M28:N28"/>
    <mergeCell ref="N3:P3"/>
    <mergeCell ref="N2:P2"/>
    <mergeCell ref="A30:D30"/>
    <mergeCell ref="G30:J30"/>
    <mergeCell ref="M30:P30"/>
    <mergeCell ref="A35:B35"/>
    <mergeCell ref="G35:H35"/>
    <mergeCell ref="M35:N35"/>
    <mergeCell ref="A36:B36"/>
    <mergeCell ref="G36:H36"/>
    <mergeCell ref="M36:N36"/>
    <mergeCell ref="A40:C40"/>
    <mergeCell ref="H1:J1"/>
    <mergeCell ref="H2:J2"/>
    <mergeCell ref="B1:D1"/>
    <mergeCell ref="B2:D2"/>
    <mergeCell ref="N1:P1"/>
    <mergeCell ref="G40:I40"/>
    <mergeCell ref="N40:O40"/>
    <mergeCell ref="I4:J4"/>
    <mergeCell ref="G4:H4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I8:I9 O8 P9:P14 J10 O10:O15 I11:I15 J16 P16 C22:C26 I22:I26 O22:O26 C32:D34 I32:I33 O32:O34 J34">
    <cfRule type="containsText" dxfId="9" priority="2" operator="containsText" text="X">
      <formula>NOT(ISERROR(SEARCH(("X"),(C8))))</formula>
    </cfRule>
  </conditionalFormatting>
  <conditionalFormatting sqref="C8:D16 I8:I9 O8 P9:P14 J10 O10:O15 I11:I15 J16 P16 C22:C26 I22:I26 O22:O26 C32:D34 I32:I33 O32:O34 J34">
    <cfRule type="containsText" dxfId="10" priority="3" operator="containsText" text="X">
      <formula>NOT(ISERROR(SEARCH(("X"),(C8))))</formula>
    </cfRule>
  </conditionalFormatting>
  <conditionalFormatting sqref="C8:D16 I8:I9 O8 P9:P14 J10 O10:O15 I11:I15 J16 P16 C22:C26 I22:I26 O22:O26 C32:D34 I32:I33 O32:O34 J34">
    <cfRule type="containsText" dxfId="11" priority="4" operator="containsText" text="X">
      <formula>NOT(ISERROR(SEARCH(("X"),(C8))))</formula>
    </cfRule>
  </conditionalFormatting>
  <conditionalFormatting sqref="C8:D16 I8:I9 O8 P9:P14 J10 O10:O15 I11:I15 J16 P16 C22:C26 I22:I26 O22:O26 C32:D34 I32:I33 O32:O34 J34">
    <cfRule type="containsText" dxfId="12" priority="5" operator="containsText" text="X">
      <formula>NOT(ISERROR(SEARCH(("X"),(C8))))</formula>
    </cfRule>
  </conditionalFormatting>
  <conditionalFormatting sqref="C22:D26 C32:C34">
    <cfRule type="containsText" dxfId="9" priority="6" operator="containsText" text="X">
      <formula>NOT(ISERROR(SEARCH(("X"),(C22))))</formula>
    </cfRule>
  </conditionalFormatting>
  <conditionalFormatting sqref="C22:D26 C32:C34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4" width="10.71"/>
  </cols>
  <sheetData>
    <row r="1">
      <c r="A1" s="116" t="s">
        <v>67</v>
      </c>
    </row>
    <row r="2">
      <c r="A2" s="117" t="s">
        <v>98</v>
      </c>
      <c r="B2" s="117" t="s">
        <v>99</v>
      </c>
    </row>
    <row r="3">
      <c r="A3" s="118" t="s">
        <v>100</v>
      </c>
      <c r="B3" s="119" t="s">
        <v>101</v>
      </c>
    </row>
    <row r="4">
      <c r="A4" s="12" t="s">
        <v>102</v>
      </c>
      <c r="B4" s="120" t="s">
        <v>103</v>
      </c>
    </row>
    <row r="9">
      <c r="A9" s="116" t="s">
        <v>34</v>
      </c>
    </row>
    <row r="10">
      <c r="A10" s="117" t="s">
        <v>98</v>
      </c>
      <c r="B10" s="117" t="s">
        <v>99</v>
      </c>
    </row>
    <row r="11">
      <c r="A11" s="118" t="s">
        <v>100</v>
      </c>
      <c r="B11" s="121" t="s">
        <v>104</v>
      </c>
    </row>
    <row r="12">
      <c r="A12" s="12" t="s">
        <v>102</v>
      </c>
      <c r="B12" s="121" t="s">
        <v>105</v>
      </c>
    </row>
    <row r="17">
      <c r="A17" s="116" t="s">
        <v>35</v>
      </c>
    </row>
    <row r="18">
      <c r="A18" s="117" t="s">
        <v>98</v>
      </c>
      <c r="B18" s="117" t="s">
        <v>99</v>
      </c>
    </row>
    <row r="19">
      <c r="A19" s="118" t="s">
        <v>100</v>
      </c>
      <c r="B19" s="119" t="s">
        <v>106</v>
      </c>
    </row>
    <row r="20">
      <c r="A20" s="12" t="s">
        <v>102</v>
      </c>
      <c r="B20" s="121" t="s">
        <v>107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B1"/>
    <mergeCell ref="A9:B9"/>
    <mergeCell ref="A17:B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2026-04-14T13:46:44Z</dcterms:created>
  <dc:creator>DYNABOOK</dc:creator>
</cp:coreProperties>
</file>