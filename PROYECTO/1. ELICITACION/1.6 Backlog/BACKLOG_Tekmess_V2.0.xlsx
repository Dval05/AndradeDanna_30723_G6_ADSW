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SPE - ISOW\SEXTO_SEMESTRE\ADSW\PARCIAL 2\"/>
    </mc:Choice>
  </mc:AlternateContent>
  <xr:revisionPtr revIDLastSave="0" documentId="8_{0D397E9D-0B36-407A-85F4-1AE26720F77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ormato descripción HU" sheetId="1" r:id="rId1"/>
    <sheet name="Historia de Usuario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2" l="1"/>
  <c r="M61" i="2"/>
  <c r="F61" i="2"/>
  <c r="F58" i="2"/>
  <c r="N54" i="2"/>
  <c r="I54" i="2"/>
  <c r="E54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<sst xmlns="http://schemas.openxmlformats.org/spreadsheetml/2006/main" count="284" uniqueCount="175">
  <si>
    <t>xº</t>
  </si>
  <si>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</si>
  <si>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</si>
  <si>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</si>
  <si>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</si>
  <si>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</si>
  <si>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</si>
  <si>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</si>
  <si>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</si>
  <si>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</si>
  <si>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</si>
  <si>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</si>
  <si>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</si>
  <si>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</si>
  <si>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</si>
  <si>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</si>
  <si>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</si>
  <si>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</si>
  <si>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</si>
  <si>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No iniciado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</si>
  <si>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</si>
  <si>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</si>
  <si>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</si>
  <si>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</si>
  <si>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</si>
  <si>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</si>
  <si>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</si>
  <si>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</si>
  <si>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</si>
  <si>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</si>
  <si>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</si>
  <si>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 xml:space="preserve">"1. Acceder a la pantalla de consulta.
2. Ingresar el nombre de la raza.
3. El sistema valida y muestra los datos correspondientes."
</t>
  </si>
  <si>
    <t>NOMBRE HISTORIA</t>
  </si>
  <si>
    <t>PRUEBA</t>
  </si>
  <si>
    <t>El cuidador ingresa el nombre y verifica que la raza mostrada sea correcta. Si no existe o es inválida, el sistema mostrará errores.</t>
  </si>
  <si>
    <t>Validar solo letras, no permitir campos vacíos y manejar errores de base de datos.</t>
  </si>
  <si>
    <t xml:space="preserve">				
				</t>
  </si>
  <si>
    <t>Danna Andrade</t>
  </si>
  <si>
    <t>REQ002</t>
  </si>
  <si>
    <t>Por Hacer</t>
  </si>
  <si>
    <t>David Pilaguano</t>
  </si>
  <si>
    <t>REQ003</t>
  </si>
  <si>
    <t>Media</t>
  </si>
  <si>
    <t>Ariel Llumiquinga</t>
  </si>
  <si>
    <t>Jefe Logística/Operación, Supervisor</t>
  </si>
  <si>
    <t>Solicitar la generación de un reporte analítico para un período definido.</t>
  </si>
  <si>
    <t>Consultar el historial de reportes analíticos previamente generados.</t>
  </si>
  <si>
    <t>Administrar el registro del personal en el sistema TekMess.</t>
  </si>
  <si>
    <t>Permitir crear, editar, eliminar y consultar empleados de forma segura.</t>
  </si>
  <si>
    <t>Falta de un sistema centralizado para gestionar al personal y sus accesos.</t>
  </si>
  <si>
    <t>Jefe Logística/Operación</t>
  </si>
  <si>
    <t>Gestión integral y coordinación del módulo de empleados.</t>
  </si>
  <si>
    <t>Equipo Completo</t>
  </si>
  <si>
    <t>27/04/2026</t>
  </si>
  <si>
    <t>Validación exitosa de todos los flujos de nivel 1 integrados.</t>
  </si>
  <si>
    <t>Historia Épica que agrupa los flujos de nivel 1 del RF-01.</t>
  </si>
  <si>
    <t>RF-01: Gestionar Empleado (Épica)</t>
  </si>
  <si>
    <t>REQ001-1</t>
  </si>
  <si>
    <t>Ingreso de datos erróneos al crear o actualizar empleados.</t>
  </si>
  <si>
    <t>Verificar que los datos del empleado cumplan las reglas de integridad.</t>
  </si>
  <si>
    <t>Validar que cédula, correo y rol sean correctos antes de guardarlos en BD.</t>
  </si>
  <si>
    <t>Sistema (Proceso Interno)</t>
  </si>
  <si>
    <t>1. Verificar 10 dígitos numéricos en cédula. 2. Validar formato de correo. 3. Validar rol.</t>
  </si>
  <si>
    <t>15/04/2026</t>
  </si>
  <si>
    <t>Comprobar que el sistema retorne error si la cédula no tiene exactamente 10 dígitos.</t>
  </si>
  <si>
    <t>Proceso interno reutilizado por "Crear" y "Editar".</t>
  </si>
  <si>
    <t>RF-01.05: Validar Datos del Empleado</t>
  </si>
  <si>
    <t>REQ001-2</t>
  </si>
  <si>
    <t>Retraso en la asignación de accesos a nuevos empleados.</t>
  </si>
  <si>
    <t>Generar automáticamente el nombre de usuario y contraseña inicial.</t>
  </si>
  <si>
    <t>Proveer acceso inmediato a un empleado recién registrado en TekMess.</t>
  </si>
  <si>
    <t>1. Generar usuario basado en datos. 2. Generar clave temporal. 3. Cifrar y guardar.</t>
  </si>
  <si>
    <t>16/04/2026</t>
  </si>
  <si>
    <t>Validar que se active en la BD el indicador de primer acceso obligatorio.</t>
  </si>
  <si>
    <t>Proceso invocado exclusivamente al crear un empleado.</t>
  </si>
  <si>
    <t>RF-01.06: Generar Credenciales</t>
  </si>
  <si>
    <t>REQ001-3</t>
  </si>
  <si>
    <t>Necesidad de ingresar nuevos trabajadores a la plataforma operativa.</t>
  </si>
  <si>
    <t>Registrar un nuevo empleado en el sistema TekMess.</t>
  </si>
  <si>
    <t>Dar acceso oficial al sistema a nuevo personal operativo.</t>
  </si>
  <si>
    <t>1. Ingresar datos. 2. Verificar cédula única. 3. Llamar a validación y credenciales.</t>
  </si>
  <si>
    <t>17/04/2026</t>
  </si>
  <si>
    <t>Verificar que el sistema bloquee el registro si la cédula ya se encuentra en la base de datos.</t>
  </si>
  <si>
    <t>Integra los procesos de validación y generación de credenciales.</t>
  </si>
  <si>
    <t>RF-01.01: Crear empleado</t>
  </si>
  <si>
    <t>REQ001-4</t>
  </si>
  <si>
    <t>Dificultad para visualizar rápidamente todo el personal activo.</t>
  </si>
  <si>
    <t>Visualizar el listado completo del personal registrado en el sistema.</t>
  </si>
  <si>
    <t>Facilitar la selección de empleados para su posterior edición o eliminación.</t>
  </si>
  <si>
    <t>1. Consultar base de datos. 2. Presentar tabla UI con cédula, nombre, rol y correo.</t>
  </si>
  <si>
    <t>21/04/2026</t>
  </si>
  <si>
    <t>Comprobar que la tabla se organiza adecuadamente por los campos solicitados.</t>
  </si>
  <si>
    <t>Es el punto de partida visual para las operaciones de Editar y Eliminar.</t>
  </si>
  <si>
    <t>RF-01.04: Consultar Empleados</t>
  </si>
  <si>
    <t>REQ001-5</t>
  </si>
  <si>
    <t>Cambios en la información institucional o roles del personal.</t>
  </si>
  <si>
    <t>Actualizar los datos de un empleado ya registrado.</t>
  </si>
  <si>
    <t>Mantener la información y niveles de acceso correctos en el sistema.</t>
  </si>
  <si>
    <t>1. Seleccionar desde el listado. 2. Modificar nombres, correo o rol. 3. Validar y guardar.</t>
  </si>
  <si>
    <t>23/04/2026</t>
  </si>
  <si>
    <t>Verificar que el sistema localice el registro por cédula y persista los cambios exitosamente.</t>
  </si>
  <si>
    <t>La cédula (identificador único) no puede ser modificada desde este módulo.</t>
  </si>
  <si>
    <t>RF-01.02: Editar Empleado</t>
  </si>
  <si>
    <t>REQ001-6</t>
  </si>
  <si>
    <t>Empleados inactivos mantienen acceso a la plataforma de seguridad.</t>
  </si>
  <si>
    <t>Dar de baja a un empleado del sistema TekMess.</t>
  </si>
  <si>
    <t>Revocar accesos garantizando la seguridad de la información corporativa.</t>
  </si>
  <si>
    <t>1. Solicitar confirmación visual. 2. Eliminar registro de la base de datos PostgreSQL.</t>
  </si>
  <si>
    <t>Validar que el empleado eliminado ya no pueda autenticarse mediante inicio de sesión.</t>
  </si>
  <si>
    <t>La eliminación es permanente, los datos de actividad histórica permanecen para reportes.</t>
  </si>
  <si>
    <t>RF-01.03: Eliminar Empleado</t>
  </si>
  <si>
    <t>Riesgos de intrusión y falta de control de accesos al aplicativo.</t>
  </si>
  <si>
    <t>Gestionar el acceso seguro al sistema TekMess mediante credenciales.</t>
  </si>
  <si>
    <t>Controlar ingresos, intentos fallidos y gestión de contraseñas de forma segura.</t>
  </si>
  <si>
    <t>Usuario (Todos)</t>
  </si>
  <si>
    <t>Administración global del módulo de autenticación simple.</t>
  </si>
  <si>
    <t>Validación exitosa de los flujos de inicio, cambio y recuperación de claves.</t>
  </si>
  <si>
    <t>Historia Épica que agrupa los flujos del RF-02V2.</t>
  </si>
  <si>
    <t>RF-02V2: Administrar Sistema (Épica)</t>
  </si>
  <si>
    <t>REQ002-1</t>
  </si>
  <si>
    <t>Se requiere verificar internamente si las credenciales son auténticas.</t>
  </si>
  <si>
    <t>Verificar la autenticidad de las credenciales de un usuario.</t>
  </si>
  <si>
    <t>Comparar la contraseña ingresada con la almacenada de forma segura mediante cifrado.</t>
  </si>
  <si>
    <t>1. Buscar registro. 2. Verificar estado de cuenta ACTIVO. 3. Comparar usando bcrypt.</t>
  </si>
  <si>
    <t>29/04/2026</t>
  </si>
  <si>
    <t>Comprobar que retorne negativo si la cuenta está inactiva o bloqueada en la BD.</t>
  </si>
  <si>
    <t>Proceso interno sin interfaz de usuario propia.</t>
  </si>
  <si>
    <t>RF-02.04: Validar Credenciales</t>
  </si>
  <si>
    <t>REQ002-2</t>
  </si>
  <si>
    <t>Controlar quién entra a TekMess y con qué rol específico.</t>
  </si>
  <si>
    <t>Autenticarse en el sistema mediante nombre de usuario y contraseña.</t>
  </si>
  <si>
    <t>Iniciar sesión segura, controlar bloqueos y redirigir al panel según el rol.</t>
  </si>
  <si>
    <t>1. Ingresar datos. 2. Validar credenciales (RF-02.04). 3. Activar timer de 120 min.</t>
  </si>
  <si>
    <t>Verificar bloqueo de cuenta al tercer intento fallido y cierre automático por inactividad.</t>
  </si>
  <si>
    <t>En el primer acceso obliga a redirigir al cambio de contraseña antes de usar el sistema.</t>
  </si>
  <si>
    <t>RF-02.01: Iniciar Sesión</t>
  </si>
  <si>
    <t>REQ002-3</t>
  </si>
  <si>
    <t>Las credenciales genéricas de primer acceso son un riesgo de seguridad.</t>
  </si>
  <si>
    <t>Actualizar la contraseña actual por una nueva.</t>
  </si>
  <si>
    <t>Cumplir con la política de seguridad definida por el sistema.</t>
  </si>
  <si>
    <t>1. Ingresar clave actual y nueva. 2. Validar políticas de seguridad. 3. Guardar cifrada.</t>
  </si>
  <si>
    <t>Verificar mínimo 8 caracteres (1 mayúscula, 1 minúscula, 2 números, 1 especial).</t>
  </si>
  <si>
    <t>Proceso obligatorio al primer inicio de sesión.</t>
  </si>
  <si>
    <t>RF-02.02: Cambiar Contraseña</t>
  </si>
  <si>
    <t>REQ002-4</t>
  </si>
  <si>
    <t>Empleados olvidan sus credenciales, generando carga de soporte en TI.</t>
  </si>
  <si>
    <t>Restablecer contraseña mediante verificación de correo y usuario.</t>
  </si>
  <si>
    <t>Permitir al usuario recuperar su acceso de forma autónoma.</t>
  </si>
  <si>
    <t>1. Ingresar correo y usuario. 2. Verificar coincidencia. 3. Redirigir a cambiar contraseña.</t>
  </si>
  <si>
    <t>Asegurar que los mensajes de error sean genéricos para no revelar si el usuario existe.</t>
  </si>
  <si>
    <t>La verificación es directa, sin uso de tokens externos ni enlaces por correo en la V2.</t>
  </si>
  <si>
    <t>RF-02.03: Recuperar Contraseña</t>
  </si>
  <si>
    <t>Falta de visibilidad gerencial sobre la operación y seguridad del aplicativo.</t>
  </si>
  <si>
    <t>Proveer reportes analíticos sobre la gestión de personal y los accesos.</t>
  </si>
  <si>
    <t>Consolidar datos operativos y de seguridad para evaluación gerencial.</t>
  </si>
  <si>
    <t>Gestión global y maquetación del módulo de reportes analíticos.</t>
  </si>
  <si>
    <t>20/05/2026</t>
  </si>
  <si>
    <t>Validar la correcta generación, filtrado y consulta de reportes en PDF.</t>
  </si>
  <si>
    <t>Historia Épica que agrupa los flujos del RF-03V2.</t>
  </si>
  <si>
    <t>RF-03V2: Generar Reporte Analítico (Épica)</t>
  </si>
  <si>
    <t>REQ003-1</t>
  </si>
  <si>
    <t>Dificultad para auditar decisiones en rangos de tiempo definidos.</t>
  </si>
  <si>
    <t>Construir y almacenar reportes sobre empleados gestionados y accesos fallidos.</t>
  </si>
  <si>
    <t>1. Ingresar fechas. 2. Consultar data de RF-01 y RF-02V2. 3. Consolidar, guardar y exportar a PDF.</t>
  </si>
  <si>
    <t>14/05/2026</t>
  </si>
  <si>
    <t>Comprobar que si la fecha de fin es anterior a la de inicio se muestre un error de validación.</t>
  </si>
  <si>
    <t>El Supervisor solo visualizará los datos correspondientes a sus guardias a cargo.</t>
  </si>
  <si>
    <t>RF-03V2.01: Generar Reporte</t>
  </si>
  <si>
    <t>REQ003-2</t>
  </si>
  <si>
    <t>Falta de seguimiento sobre reportes extraídos en el pasado.</t>
  </si>
  <si>
    <t>Visualizar el detalle histórico, filtrar por fechas y agregar anotaciones.</t>
  </si>
  <si>
    <t>1. Listar reportes. 2. Filtrar por fechas/rol. 3. Habilitar campo de anotaciones y exportación PDF.</t>
  </si>
  <si>
    <t>Validar que al omitir el rango de fechas, se retorne el historial completo según el rol.</t>
  </si>
  <si>
    <t>Los datos base del reporte no pueden ser modificados, solo se permiten anotaciones adicionales.</t>
  </si>
  <si>
    <t>RF-03V2.02: Consultar 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</si>
</sst>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u/>
      <sz val="11"/>
      <color rgb="FF000000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Arial Narrow"/>
      <family val="2"/>
    </font>
    <font>
      <sz val="10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12" fillId="5" borderId="5" xfId="0" applyFont="1" applyFill="1" applyBorder="1" applyAlignment="1">
      <alignment vertical="top" wrapText="1"/>
    </xf>
    <xf numFmtId="0" fontId="9" fillId="5" borderId="6" xfId="0" applyFont="1" applyFill="1" applyBorder="1" applyAlignment="1">
      <alignment horizontal="left" vertical="top" wrapText="1"/>
    </xf>
    <xf numFmtId="0" fontId="10" fillId="5" borderId="6" xfId="0" applyFont="1" applyFill="1" applyBorder="1" applyAlignment="1">
      <alignment vertical="top" wrapText="1"/>
    </xf>
    <xf numFmtId="0" fontId="12" fillId="5" borderId="6" xfId="0" applyFont="1" applyFill="1" applyBorder="1" applyAlignment="1">
      <alignment vertical="top" wrapText="1"/>
    </xf>
    <xf numFmtId="0" fontId="12" fillId="5" borderId="7" xfId="0" applyFont="1" applyFill="1" applyBorder="1" applyAlignment="1">
      <alignment vertical="top" wrapText="1"/>
    </xf>
    <xf numFmtId="0" fontId="12" fillId="5" borderId="8" xfId="0" applyFont="1" applyFill="1" applyBorder="1" applyAlignment="1">
      <alignment vertical="top" wrapText="1"/>
    </xf>
    <xf numFmtId="0" fontId="13" fillId="6" borderId="4" xfId="0" applyFont="1" applyFill="1" applyBorder="1" applyAlignment="1">
      <alignment horizontal="center" vertical="top" wrapText="1"/>
    </xf>
    <xf numFmtId="0" fontId="14" fillId="5" borderId="9" xfId="0" applyFont="1" applyFill="1" applyBorder="1" applyAlignment="1">
      <alignment vertical="top" wrapText="1"/>
    </xf>
    <xf numFmtId="0" fontId="12" fillId="5" borderId="9" xfId="0" applyFont="1" applyFill="1" applyBorder="1" applyAlignment="1">
      <alignment vertical="top" wrapText="1"/>
    </xf>
    <xf numFmtId="0" fontId="12" fillId="5" borderId="10" xfId="0" applyFont="1" applyFill="1" applyBorder="1" applyAlignment="1">
      <alignment vertical="top" wrapText="1"/>
    </xf>
    <xf numFmtId="0" fontId="15" fillId="7" borderId="4" xfId="0" applyFont="1" applyFill="1" applyBorder="1" applyAlignment="1">
      <alignment horizontal="center" vertical="top" wrapText="1"/>
    </xf>
    <xf numFmtId="0" fontId="10" fillId="5" borderId="9" xfId="0" applyFont="1" applyFill="1" applyBorder="1" applyAlignment="1">
      <alignment vertical="top" wrapText="1"/>
    </xf>
    <xf numFmtId="0" fontId="15" fillId="5" borderId="9" xfId="0" applyFont="1" applyFill="1" applyBorder="1" applyAlignment="1">
      <alignment horizontal="center" vertical="top" wrapText="1"/>
    </xf>
    <xf numFmtId="0" fontId="10" fillId="5" borderId="9" xfId="0" applyFont="1" applyFill="1" applyBorder="1" applyAlignment="1">
      <alignment horizontal="center" vertical="top" wrapText="1"/>
    </xf>
    <xf numFmtId="0" fontId="12" fillId="5" borderId="9" xfId="0" applyFont="1" applyFill="1" applyBorder="1" applyAlignment="1">
      <alignment horizontal="center" vertical="top" wrapText="1"/>
    </xf>
    <xf numFmtId="0" fontId="12" fillId="5" borderId="28" xfId="0" applyFont="1" applyFill="1" applyBorder="1" applyAlignment="1">
      <alignment vertical="top" wrapText="1"/>
    </xf>
    <xf numFmtId="0" fontId="12" fillId="5" borderId="29" xfId="0" applyFont="1" applyFill="1" applyBorder="1" applyAlignment="1">
      <alignment vertical="top" wrapText="1"/>
    </xf>
    <xf numFmtId="0" fontId="12" fillId="5" borderId="30" xfId="0" applyFont="1" applyFill="1" applyBorder="1" applyAlignment="1">
      <alignment vertical="top" wrapText="1"/>
    </xf>
    <xf numFmtId="0" fontId="17" fillId="0" borderId="4" xfId="0" applyFont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top" wrapText="1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10" fillId="7" borderId="12" xfId="0" applyFont="1" applyFill="1" applyBorder="1" applyAlignment="1">
      <alignment horizontal="center" vertical="top" wrapText="1"/>
    </xf>
    <xf numFmtId="0" fontId="4" fillId="0" borderId="14" xfId="0" applyFont="1" applyBorder="1"/>
    <xf numFmtId="0" fontId="0" fillId="0" borderId="0" xfId="0"/>
    <xf numFmtId="0" fontId="4" fillId="0" borderId="21" xfId="0" applyFont="1" applyBorder="1"/>
    <xf numFmtId="0" fontId="13" fillId="6" borderId="1" xfId="0" applyFont="1" applyFill="1" applyBorder="1" applyAlignment="1">
      <alignment horizontal="center" vertical="top" wrapText="1"/>
    </xf>
    <xf numFmtId="0" fontId="4" fillId="0" borderId="3" xfId="0" applyFont="1" applyBorder="1"/>
    <xf numFmtId="0" fontId="10" fillId="7" borderId="1" xfId="0" applyFont="1" applyFill="1" applyBorder="1" applyAlignment="1">
      <alignment horizontal="center" vertical="top" wrapText="1"/>
    </xf>
    <xf numFmtId="0" fontId="13" fillId="8" borderId="11" xfId="0" applyFont="1" applyFill="1" applyBorder="1" applyAlignment="1">
      <alignment horizontal="center" vertical="top" wrapText="1"/>
    </xf>
    <xf numFmtId="0" fontId="4" fillId="0" borderId="15" xfId="0" applyFont="1" applyBorder="1"/>
    <xf numFmtId="0" fontId="4" fillId="0" borderId="18" xfId="0" applyFont="1" applyBorder="1"/>
    <xf numFmtId="0" fontId="10" fillId="7" borderId="12" xfId="0" applyFont="1" applyFill="1" applyBorder="1" applyAlignment="1">
      <alignment horizontal="left" vertical="top" wrapText="1"/>
    </xf>
    <xf numFmtId="0" fontId="15" fillId="2" borderId="22" xfId="0" applyFont="1" applyFill="1" applyBorder="1" applyAlignment="1">
      <alignment horizontal="center" vertical="top" wrapText="1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6" fillId="9" borderId="12" xfId="0" applyFont="1" applyFill="1" applyBorder="1" applyAlignment="1">
      <alignment horizontal="center" vertical="top" wrapText="1"/>
    </xf>
    <xf numFmtId="49" fontId="10" fillId="7" borderId="12" xfId="0" applyNumberFormat="1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4" fillId="0" borderId="2" xfId="0" applyFont="1" applyBorder="1"/>
    <xf numFmtId="0" fontId="3" fillId="0" borderId="1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zoomScale="50" zoomScaleNormal="50" workbookViewId="0">
      <pane ySplit="6" topLeftCell="A7" activePane="bottomLeft" state="frozen"/>
      <selection pane="bottomLeft" activeCell="T12" sqref="T12"/>
    </sheetView>
  </sheetViews>
  <sheetFormatPr baseColWidth="10" defaultColWidth="12.6640625" defaultRowHeight="15" customHeight="1" x14ac:dyDescent="0.3"/>
  <cols>
    <col min="1" max="1" width="4.6640625" customWidth="1"/>
    <col min="2" max="2" width="10.4140625" customWidth="1"/>
    <col min="3" max="5" width="20.6640625" customWidth="1"/>
    <col min="6" max="6" width="13.83203125" customWidth="1"/>
    <col min="7" max="7" width="32.5" customWidth="1"/>
    <col min="8" max="8" width="10.6640625" customWidth="1"/>
    <col min="9" max="9" width="13.33203125" customWidth="1"/>
    <col min="10" max="12" width="10.6640625" customWidth="1"/>
    <col min="13" max="13" width="32.75" customWidth="1"/>
    <col min="14" max="14" width="37.25" customWidth="1"/>
    <col min="15" max="15" width="20.6640625" customWidth="1"/>
    <col min="16" max="26" width="9.4140625" customWidth="1"/>
  </cols>
  <sheetData>
    <row r="1" spans="1:26" ht="14" x14ac:dyDescent="0.3">
      <c r="A1" s="1" t="s">
        <v>0</v>
      </c>
      <c r="B1" s="1"/>
      <c r="C1" s="2"/>
      <c r="D1" s="1"/>
      <c r="E1" s="1"/>
      <c r="F1" s="1"/>
      <c r="G1" s="1"/>
      <c r="H1" s="1"/>
      <c r="I1" s="3"/>
      <c r="J1" s="3"/>
      <c r="K1" s="4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1"/>
      <c r="B2" s="1"/>
      <c r="C2" s="1"/>
      <c r="D2" s="1"/>
      <c r="E2" s="1"/>
      <c r="F2" s="1"/>
      <c r="G2" s="1"/>
      <c r="H2" s="1"/>
      <c r="I2" s="3"/>
      <c r="J2" s="3"/>
      <c r="K2" s="4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64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4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1"/>
      <c r="B4" s="1"/>
      <c r="C4" s="1"/>
      <c r="D4" s="1"/>
      <c r="E4" s="1"/>
      <c r="F4" s="1"/>
      <c r="G4" s="1"/>
      <c r="H4" s="1"/>
      <c r="I4" s="3"/>
      <c r="J4" s="3"/>
      <c r="K4" s="4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1"/>
      <c r="B5" s="1"/>
      <c r="C5" s="1"/>
      <c r="D5" s="1"/>
      <c r="E5" s="1"/>
      <c r="F5" s="1"/>
      <c r="G5" s="1"/>
      <c r="H5" s="1"/>
      <c r="I5" s="3"/>
      <c r="J5" s="3"/>
      <c r="K5" s="4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 x14ac:dyDescent="0.3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3">
      <c r="A7" s="3"/>
      <c r="B7" s="6" t="s">
        <v>16</v>
      </c>
      <c r="C7" s="7" t="s">
        <v>49</v>
      </c>
      <c r="D7" s="7" t="s">
        <v>47</v>
      </c>
      <c r="E7" s="7" t="s">
        <v>48</v>
      </c>
      <c r="F7" s="35" t="s">
        <v>50</v>
      </c>
      <c r="G7" s="35" t="s">
        <v>51</v>
      </c>
      <c r="H7" s="7" t="s">
        <v>52</v>
      </c>
      <c r="I7" s="7">
        <v>28</v>
      </c>
      <c r="J7" s="8" t="s">
        <v>53</v>
      </c>
      <c r="K7" s="10" t="s">
        <v>17</v>
      </c>
      <c r="L7" s="7" t="s">
        <v>39</v>
      </c>
      <c r="M7" s="9" t="s">
        <v>54</v>
      </c>
      <c r="N7" s="7" t="s">
        <v>55</v>
      </c>
      <c r="O7" s="7" t="s">
        <v>56</v>
      </c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0.5" customHeight="1" x14ac:dyDescent="0.3">
      <c r="A8" s="3"/>
      <c r="B8" s="6" t="s">
        <v>57</v>
      </c>
      <c r="C8" s="7" t="s">
        <v>58</v>
      </c>
      <c r="D8" s="11" t="s">
        <v>59</v>
      </c>
      <c r="E8" s="7" t="s">
        <v>60</v>
      </c>
      <c r="F8" s="7" t="s">
        <v>61</v>
      </c>
      <c r="G8" s="36" t="s">
        <v>62</v>
      </c>
      <c r="H8" s="7" t="s">
        <v>37</v>
      </c>
      <c r="I8" s="7">
        <v>4</v>
      </c>
      <c r="J8" s="8" t="s">
        <v>63</v>
      </c>
      <c r="K8" s="7" t="s">
        <v>17</v>
      </c>
      <c r="L8" s="7" t="s">
        <v>39</v>
      </c>
      <c r="M8" s="7" t="s">
        <v>64</v>
      </c>
      <c r="N8" s="7" t="s">
        <v>65</v>
      </c>
      <c r="O8" s="7" t="s">
        <v>66</v>
      </c>
      <c r="P8" s="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1.5" customHeight="1" x14ac:dyDescent="0.3">
      <c r="A9" s="3"/>
      <c r="B9" s="6" t="s">
        <v>67</v>
      </c>
      <c r="C9" s="7" t="s">
        <v>68</v>
      </c>
      <c r="D9" s="7" t="s">
        <v>69</v>
      </c>
      <c r="E9" s="7" t="s">
        <v>70</v>
      </c>
      <c r="F9" s="7" t="s">
        <v>61</v>
      </c>
      <c r="G9" s="36" t="s">
        <v>71</v>
      </c>
      <c r="H9" s="7" t="s">
        <v>43</v>
      </c>
      <c r="I9" s="7">
        <v>4</v>
      </c>
      <c r="J9" s="8" t="s">
        <v>72</v>
      </c>
      <c r="K9" s="7" t="s">
        <v>17</v>
      </c>
      <c r="L9" s="7" t="s">
        <v>39</v>
      </c>
      <c r="M9" s="7" t="s">
        <v>73</v>
      </c>
      <c r="N9" s="7" t="s">
        <v>74</v>
      </c>
      <c r="O9" s="7" t="s">
        <v>75</v>
      </c>
      <c r="P9" s="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8.5" customHeight="1" x14ac:dyDescent="0.3">
      <c r="A10" s="3"/>
      <c r="B10" s="6" t="s">
        <v>76</v>
      </c>
      <c r="C10" s="7" t="s">
        <v>77</v>
      </c>
      <c r="D10" s="7" t="s">
        <v>78</v>
      </c>
      <c r="E10" s="7" t="s">
        <v>79</v>
      </c>
      <c r="F10" s="7" t="s">
        <v>50</v>
      </c>
      <c r="G10" s="35" t="s">
        <v>80</v>
      </c>
      <c r="H10" s="7" t="s">
        <v>37</v>
      </c>
      <c r="I10" s="7">
        <v>6</v>
      </c>
      <c r="J10" s="8" t="s">
        <v>81</v>
      </c>
      <c r="K10" s="7" t="s">
        <v>17</v>
      </c>
      <c r="L10" s="7" t="s">
        <v>39</v>
      </c>
      <c r="M10" s="65" t="s">
        <v>82</v>
      </c>
      <c r="N10" s="7" t="s">
        <v>83</v>
      </c>
      <c r="O10" s="35" t="s">
        <v>84</v>
      </c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3">
      <c r="A11" s="3"/>
      <c r="B11" s="6" t="s">
        <v>16</v>
      </c>
      <c r="C11" s="7" t="s">
        <v>49</v>
      </c>
      <c r="D11" s="7" t="s">
        <v>47</v>
      </c>
      <c r="E11" s="7" t="s">
        <v>48</v>
      </c>
      <c r="F11" s="7" t="s">
        <v>50</v>
      </c>
      <c r="G11" s="35" t="s">
        <v>51</v>
      </c>
      <c r="H11" s="7" t="s">
        <v>52</v>
      </c>
      <c r="I11" s="7">
        <v>28</v>
      </c>
      <c r="J11" s="8" t="s">
        <v>53</v>
      </c>
      <c r="K11" s="7" t="s">
        <v>17</v>
      </c>
      <c r="L11" s="7" t="s">
        <v>39</v>
      </c>
      <c r="M11" s="65" t="s">
        <v>54</v>
      </c>
      <c r="N11" s="7" t="s">
        <v>55</v>
      </c>
      <c r="O11" s="7" t="s">
        <v>56</v>
      </c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8.5" customHeight="1" x14ac:dyDescent="0.3">
      <c r="A12" s="3"/>
      <c r="B12" s="6" t="s">
        <v>57</v>
      </c>
      <c r="C12" s="7" t="s">
        <v>58</v>
      </c>
      <c r="D12" s="7" t="s">
        <v>59</v>
      </c>
      <c r="E12" s="7" t="s">
        <v>60</v>
      </c>
      <c r="F12" s="7" t="s">
        <v>61</v>
      </c>
      <c r="G12" s="35" t="s">
        <v>62</v>
      </c>
      <c r="H12" s="7" t="s">
        <v>37</v>
      </c>
      <c r="I12" s="7">
        <v>4</v>
      </c>
      <c r="J12" s="8" t="s">
        <v>63</v>
      </c>
      <c r="K12" s="7" t="s">
        <v>17</v>
      </c>
      <c r="L12" s="7" t="s">
        <v>39</v>
      </c>
      <c r="M12" s="65" t="s">
        <v>64</v>
      </c>
      <c r="N12" s="7" t="s">
        <v>65</v>
      </c>
      <c r="O12" s="7" t="s">
        <v>66</v>
      </c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8.5" customHeight="1" x14ac:dyDescent="0.3">
      <c r="A13" s="3"/>
      <c r="B13" s="6" t="s">
        <v>67</v>
      </c>
      <c r="C13" s="7" t="s">
        <v>68</v>
      </c>
      <c r="D13" s="7" t="s">
        <v>69</v>
      </c>
      <c r="E13" s="7" t="s">
        <v>70</v>
      </c>
      <c r="F13" s="7" t="s">
        <v>61</v>
      </c>
      <c r="G13" s="35" t="s">
        <v>71</v>
      </c>
      <c r="H13" s="7" t="s">
        <v>43</v>
      </c>
      <c r="I13" s="7">
        <v>4</v>
      </c>
      <c r="J13" s="8" t="s">
        <v>72</v>
      </c>
      <c r="K13" s="7" t="s">
        <v>17</v>
      </c>
      <c r="L13" s="7" t="s">
        <v>39</v>
      </c>
      <c r="M13" s="65" t="s">
        <v>73</v>
      </c>
      <c r="N13" s="7" t="s">
        <v>74</v>
      </c>
      <c r="O13" s="7" t="s">
        <v>75</v>
      </c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8.5" customHeight="1" x14ac:dyDescent="0.3">
      <c r="A14" s="3"/>
      <c r="B14" s="6" t="s">
        <v>76</v>
      </c>
      <c r="C14" s="7" t="s">
        <v>77</v>
      </c>
      <c r="D14" s="7" t="s">
        <v>78</v>
      </c>
      <c r="E14" s="7" t="s">
        <v>79</v>
      </c>
      <c r="F14" s="7" t="s">
        <v>50</v>
      </c>
      <c r="G14" s="35" t="s">
        <v>80</v>
      </c>
      <c r="H14" s="7" t="s">
        <v>37</v>
      </c>
      <c r="I14" s="7">
        <v>6</v>
      </c>
      <c r="J14" s="8" t="s">
        <v>81</v>
      </c>
      <c r="K14" s="7" t="s">
        <v>17</v>
      </c>
      <c r="L14" s="7" t="s">
        <v>39</v>
      </c>
      <c r="M14" s="65" t="s">
        <v>82</v>
      </c>
      <c r="N14" s="7" t="s">
        <v>83</v>
      </c>
      <c r="O14" s="7" t="s">
        <v>84</v>
      </c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 x14ac:dyDescent="0.3">
      <c r="A15" s="3"/>
      <c r="B15" s="6" t="s">
        <v>85</v>
      </c>
      <c r="C15" s="7" t="s">
        <v>86</v>
      </c>
      <c r="D15" s="7" t="s">
        <v>87</v>
      </c>
      <c r="E15" s="7" t="s">
        <v>88</v>
      </c>
      <c r="F15" s="7" t="s">
        <v>50</v>
      </c>
      <c r="G15" s="35" t="s">
        <v>89</v>
      </c>
      <c r="H15" s="7" t="s">
        <v>43</v>
      </c>
      <c r="I15" s="7">
        <v>5</v>
      </c>
      <c r="J15" s="8" t="s">
        <v>90</v>
      </c>
      <c r="K15" s="7" t="s">
        <v>42</v>
      </c>
      <c r="L15" s="7" t="s">
        <v>39</v>
      </c>
      <c r="M15" s="65" t="s">
        <v>91</v>
      </c>
      <c r="N15" s="7" t="s">
        <v>92</v>
      </c>
      <c r="O15" s="7" t="s">
        <v>93</v>
      </c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 x14ac:dyDescent="0.3">
      <c r="A16" s="3"/>
      <c r="B16" s="6" t="s">
        <v>94</v>
      </c>
      <c r="C16" s="7" t="s">
        <v>95</v>
      </c>
      <c r="D16" s="7" t="s">
        <v>96</v>
      </c>
      <c r="E16" s="7" t="s">
        <v>97</v>
      </c>
      <c r="F16" s="7" t="s">
        <v>50</v>
      </c>
      <c r="G16" s="35" t="s">
        <v>98</v>
      </c>
      <c r="H16" s="7" t="s">
        <v>40</v>
      </c>
      <c r="I16" s="7">
        <v>5</v>
      </c>
      <c r="J16" s="8" t="s">
        <v>99</v>
      </c>
      <c r="K16" s="7" t="s">
        <v>42</v>
      </c>
      <c r="L16" s="7" t="s">
        <v>39</v>
      </c>
      <c r="M16" s="65" t="s">
        <v>100</v>
      </c>
      <c r="N16" s="7" t="s">
        <v>101</v>
      </c>
      <c r="O16" s="7" t="s">
        <v>102</v>
      </c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 x14ac:dyDescent="0.3">
      <c r="A17" s="3"/>
      <c r="B17" s="6" t="s">
        <v>103</v>
      </c>
      <c r="C17" s="7" t="s">
        <v>104</v>
      </c>
      <c r="D17" s="7" t="s">
        <v>105</v>
      </c>
      <c r="E17" s="7" t="s">
        <v>106</v>
      </c>
      <c r="F17" s="7" t="s">
        <v>50</v>
      </c>
      <c r="G17" s="35" t="s">
        <v>107</v>
      </c>
      <c r="H17" s="7" t="s">
        <v>40</v>
      </c>
      <c r="I17" s="7">
        <v>4</v>
      </c>
      <c r="J17" s="8" t="s">
        <v>53</v>
      </c>
      <c r="K17" s="7" t="s">
        <v>17</v>
      </c>
      <c r="L17" s="7" t="s">
        <v>39</v>
      </c>
      <c r="M17" s="65" t="s">
        <v>108</v>
      </c>
      <c r="N17" s="7" t="s">
        <v>109</v>
      </c>
      <c r="O17" s="7" t="s">
        <v>110</v>
      </c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8.5" customHeight="1" x14ac:dyDescent="0.3">
      <c r="A18" s="3"/>
      <c r="B18" s="6" t="s">
        <v>38</v>
      </c>
      <c r="C18" s="7" t="s">
        <v>111</v>
      </c>
      <c r="D18" s="7" t="s">
        <v>112</v>
      </c>
      <c r="E18" s="7" t="s">
        <v>113</v>
      </c>
      <c r="F18" s="7" t="s">
        <v>114</v>
      </c>
      <c r="G18" s="35" t="s">
        <v>115</v>
      </c>
      <c r="H18" s="7" t="s">
        <v>52</v>
      </c>
      <c r="I18" s="7">
        <v>24</v>
      </c>
      <c r="J18" s="8">
        <v>46239</v>
      </c>
      <c r="K18" s="7" t="s">
        <v>17</v>
      </c>
      <c r="L18" s="7" t="s">
        <v>39</v>
      </c>
      <c r="M18" s="65" t="s">
        <v>116</v>
      </c>
      <c r="N18" s="7" t="s">
        <v>117</v>
      </c>
      <c r="O18" s="7" t="s">
        <v>118</v>
      </c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8.5" customHeight="1" x14ac:dyDescent="0.3">
      <c r="A19" s="3"/>
      <c r="B19" s="6" t="s">
        <v>119</v>
      </c>
      <c r="C19" s="7" t="s">
        <v>120</v>
      </c>
      <c r="D19" s="7" t="s">
        <v>121</v>
      </c>
      <c r="E19" s="7" t="s">
        <v>122</v>
      </c>
      <c r="F19" s="7" t="s">
        <v>61</v>
      </c>
      <c r="G19" s="35" t="s">
        <v>123</v>
      </c>
      <c r="H19" s="7" t="s">
        <v>37</v>
      </c>
      <c r="I19" s="7">
        <v>5</v>
      </c>
      <c r="J19" s="8" t="s">
        <v>124</v>
      </c>
      <c r="K19" s="7" t="s">
        <v>17</v>
      </c>
      <c r="L19" s="7" t="s">
        <v>39</v>
      </c>
      <c r="M19" s="65" t="s">
        <v>125</v>
      </c>
      <c r="N19" s="7" t="s">
        <v>126</v>
      </c>
      <c r="O19" s="7" t="s">
        <v>127</v>
      </c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8.5" customHeight="1" x14ac:dyDescent="0.3">
      <c r="A20" s="3"/>
      <c r="B20" s="6" t="s">
        <v>128</v>
      </c>
      <c r="C20" s="7" t="s">
        <v>129</v>
      </c>
      <c r="D20" s="7" t="s">
        <v>130</v>
      </c>
      <c r="E20" s="7" t="s">
        <v>131</v>
      </c>
      <c r="F20" s="7" t="s">
        <v>114</v>
      </c>
      <c r="G20" s="35" t="s">
        <v>132</v>
      </c>
      <c r="H20" s="7" t="s">
        <v>37</v>
      </c>
      <c r="I20" s="7">
        <v>7</v>
      </c>
      <c r="J20" s="8">
        <v>46027</v>
      </c>
      <c r="K20" s="7" t="s">
        <v>17</v>
      </c>
      <c r="L20" s="7" t="s">
        <v>39</v>
      </c>
      <c r="M20" s="65" t="s">
        <v>133</v>
      </c>
      <c r="N20" s="7" t="s">
        <v>134</v>
      </c>
      <c r="O20" s="7" t="s">
        <v>135</v>
      </c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8.5" customHeight="1" x14ac:dyDescent="0.3">
      <c r="A21" s="3"/>
      <c r="B21" s="6" t="s">
        <v>136</v>
      </c>
      <c r="C21" s="7" t="s">
        <v>137</v>
      </c>
      <c r="D21" s="7" t="s">
        <v>138</v>
      </c>
      <c r="E21" s="7" t="s">
        <v>139</v>
      </c>
      <c r="F21" s="7" t="s">
        <v>114</v>
      </c>
      <c r="G21" s="35" t="s">
        <v>140</v>
      </c>
      <c r="H21" s="7" t="s">
        <v>40</v>
      </c>
      <c r="I21" s="7">
        <v>6</v>
      </c>
      <c r="J21" s="8">
        <v>46147</v>
      </c>
      <c r="K21" s="7" t="s">
        <v>17</v>
      </c>
      <c r="L21" s="7" t="s">
        <v>39</v>
      </c>
      <c r="M21" s="65" t="s">
        <v>141</v>
      </c>
      <c r="N21" s="7" t="s">
        <v>142</v>
      </c>
      <c r="O21" s="7" t="s">
        <v>143</v>
      </c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8.5" customHeight="1" x14ac:dyDescent="0.3">
      <c r="A22" s="3"/>
      <c r="B22" s="6" t="s">
        <v>144</v>
      </c>
      <c r="C22" s="7" t="s">
        <v>145</v>
      </c>
      <c r="D22" s="7" t="s">
        <v>146</v>
      </c>
      <c r="E22" s="7" t="s">
        <v>147</v>
      </c>
      <c r="F22" s="7" t="s">
        <v>114</v>
      </c>
      <c r="G22" s="35" t="s">
        <v>148</v>
      </c>
      <c r="H22" s="7" t="s">
        <v>43</v>
      </c>
      <c r="I22" s="7">
        <v>6</v>
      </c>
      <c r="J22" s="8">
        <v>46239</v>
      </c>
      <c r="K22" s="7" t="s">
        <v>17</v>
      </c>
      <c r="L22" s="7" t="s">
        <v>39</v>
      </c>
      <c r="M22" s="65" t="s">
        <v>149</v>
      </c>
      <c r="N22" s="7" t="s">
        <v>150</v>
      </c>
      <c r="O22" s="7" t="s">
        <v>151</v>
      </c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8.5" customHeight="1" x14ac:dyDescent="0.3">
      <c r="A23" s="3"/>
      <c r="B23" s="6" t="s">
        <v>41</v>
      </c>
      <c r="C23" s="7" t="s">
        <v>152</v>
      </c>
      <c r="D23" s="7" t="s">
        <v>153</v>
      </c>
      <c r="E23" s="7" t="s">
        <v>154</v>
      </c>
      <c r="F23" s="7" t="s">
        <v>44</v>
      </c>
      <c r="G23" s="35" t="s">
        <v>155</v>
      </c>
      <c r="H23" s="7" t="s">
        <v>52</v>
      </c>
      <c r="I23" s="7">
        <v>16</v>
      </c>
      <c r="J23" s="8" t="s">
        <v>156</v>
      </c>
      <c r="K23" s="7" t="s">
        <v>42</v>
      </c>
      <c r="L23" s="7" t="s">
        <v>39</v>
      </c>
      <c r="M23" s="65" t="s">
        <v>157</v>
      </c>
      <c r="N23" s="7" t="s">
        <v>158</v>
      </c>
      <c r="O23" s="7" t="s">
        <v>159</v>
      </c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8.5" customHeight="1" x14ac:dyDescent="0.3">
      <c r="A24" s="3"/>
      <c r="B24" s="6" t="s">
        <v>160</v>
      </c>
      <c r="C24" s="7" t="s">
        <v>161</v>
      </c>
      <c r="D24" s="7" t="s">
        <v>45</v>
      </c>
      <c r="E24" s="7" t="s">
        <v>162</v>
      </c>
      <c r="F24" s="7" t="s">
        <v>44</v>
      </c>
      <c r="G24" s="35" t="s">
        <v>163</v>
      </c>
      <c r="H24" s="7" t="s">
        <v>40</v>
      </c>
      <c r="I24" s="7">
        <v>8</v>
      </c>
      <c r="J24" s="8" t="s">
        <v>164</v>
      </c>
      <c r="K24" s="7" t="s">
        <v>42</v>
      </c>
      <c r="L24" s="7" t="s">
        <v>39</v>
      </c>
      <c r="M24" s="65" t="s">
        <v>165</v>
      </c>
      <c r="N24" s="7" t="s">
        <v>166</v>
      </c>
      <c r="O24" s="7" t="s">
        <v>167</v>
      </c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8.5" customHeight="1" x14ac:dyDescent="0.3">
      <c r="A25" s="3"/>
      <c r="B25" s="6" t="s">
        <v>168</v>
      </c>
      <c r="C25" s="7" t="s">
        <v>169</v>
      </c>
      <c r="D25" s="7" t="s">
        <v>46</v>
      </c>
      <c r="E25" s="7" t="s">
        <v>170</v>
      </c>
      <c r="F25" s="7" t="s">
        <v>44</v>
      </c>
      <c r="G25" s="35" t="s">
        <v>171</v>
      </c>
      <c r="H25" s="7" t="s">
        <v>43</v>
      </c>
      <c r="I25" s="7">
        <v>8</v>
      </c>
      <c r="J25" s="8" t="s">
        <v>156</v>
      </c>
      <c r="K25" s="7" t="s">
        <v>42</v>
      </c>
      <c r="L25" s="7" t="s">
        <v>39</v>
      </c>
      <c r="M25" s="65" t="s">
        <v>172</v>
      </c>
      <c r="N25" s="7" t="s">
        <v>173</v>
      </c>
      <c r="O25" s="7" t="s">
        <v>174</v>
      </c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8.5" customHeight="1" x14ac:dyDescent="0.3">
      <c r="A26" s="3"/>
      <c r="B26" s="6"/>
      <c r="C26" s="7"/>
      <c r="D26" s="7"/>
      <c r="E26" s="7"/>
      <c r="F26" s="7"/>
      <c r="G26" s="35"/>
      <c r="H26" s="7"/>
      <c r="I26" s="7"/>
      <c r="J26" s="8"/>
      <c r="K26" s="7"/>
      <c r="L26" s="7"/>
      <c r="M26" s="65"/>
      <c r="N26" s="7"/>
      <c r="O26" s="7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8.5" customHeight="1" x14ac:dyDescent="0.3">
      <c r="A27" s="3"/>
      <c r="B27" s="6"/>
      <c r="C27" s="7"/>
      <c r="D27" s="7"/>
      <c r="E27" s="7"/>
      <c r="F27" s="7"/>
      <c r="G27" s="35"/>
      <c r="H27" s="7"/>
      <c r="I27" s="7"/>
      <c r="J27" s="8"/>
      <c r="K27" s="7"/>
      <c r="L27" s="7"/>
      <c r="M27" s="65"/>
      <c r="N27" s="7"/>
      <c r="O27" s="7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8"/>
      <c r="K28" s="3"/>
      <c r="L28" s="3"/>
      <c r="M28" s="3"/>
      <c r="N28" s="3"/>
      <c r="O28" s="3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 t="s">
        <v>17</v>
      </c>
      <c r="L31" s="3" t="s">
        <v>19</v>
      </c>
      <c r="M31" s="3"/>
      <c r="N31" s="3"/>
      <c r="O31" s="3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1"/>
      <c r="D32" s="1"/>
      <c r="E32" s="1"/>
      <c r="F32" s="1"/>
      <c r="G32" s="1"/>
      <c r="H32" s="1"/>
      <c r="I32" s="3"/>
      <c r="J32" s="1"/>
      <c r="K32" s="4" t="s">
        <v>20</v>
      </c>
      <c r="L32" s="4" t="s">
        <v>18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1"/>
      <c r="D33" s="1"/>
      <c r="E33" s="1"/>
      <c r="F33" s="1"/>
      <c r="G33" s="1"/>
      <c r="H33" s="1"/>
      <c r="I33" s="3"/>
      <c r="J33" s="1"/>
      <c r="K33" s="4" t="s">
        <v>21</v>
      </c>
      <c r="L33" s="4" t="s">
        <v>22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1"/>
      <c r="C34" s="1"/>
      <c r="D34" s="1"/>
      <c r="E34" s="1"/>
      <c r="F34" s="1"/>
      <c r="G34" s="1"/>
      <c r="H34" s="1"/>
      <c r="I34" s="3"/>
      <c r="J34" s="1"/>
      <c r="K34" s="4"/>
      <c r="L34" s="4" t="s">
        <v>23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1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1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3"/>
      <c r="J39" s="3"/>
      <c r="K39" s="4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3"/>
      <c r="J40" s="3"/>
      <c r="K40" s="4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3"/>
      <c r="J41" s="3"/>
      <c r="K41" s="4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3"/>
      <c r="J42" s="3"/>
      <c r="K42" s="4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3"/>
      <c r="J43" s="3"/>
      <c r="K43" s="4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3"/>
      <c r="J44" s="3"/>
      <c r="K44" s="4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3"/>
      <c r="J45" s="3"/>
      <c r="K45" s="4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3"/>
      <c r="J46" s="3"/>
      <c r="K46" s="4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3"/>
      <c r="J47" s="3"/>
      <c r="K47" s="4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3"/>
      <c r="J48" s="3"/>
      <c r="K48" s="4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3"/>
      <c r="J49" s="3"/>
      <c r="K49" s="4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3"/>
      <c r="J50" s="3"/>
      <c r="K50" s="4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3"/>
      <c r="J51" s="3"/>
      <c r="K51" s="4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3"/>
      <c r="J52" s="3"/>
      <c r="K52" s="4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3"/>
      <c r="J53" s="3"/>
      <c r="K53" s="4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3"/>
      <c r="J54" s="3"/>
      <c r="K54" s="4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3"/>
      <c r="J55" s="3"/>
      <c r="K55" s="4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3"/>
      <c r="J56" s="3"/>
      <c r="K56" s="4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3"/>
      <c r="J57" s="3"/>
      <c r="K57" s="4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3"/>
      <c r="J58" s="3"/>
      <c r="K58" s="4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3"/>
      <c r="J59" s="3"/>
      <c r="K59" s="4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3"/>
      <c r="J60" s="3"/>
      <c r="K60" s="4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3"/>
      <c r="J61" s="3"/>
      <c r="K61" s="4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3"/>
      <c r="J62" s="3"/>
      <c r="K62" s="4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3"/>
      <c r="J63" s="3"/>
      <c r="K63" s="4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3"/>
      <c r="J64" s="3"/>
      <c r="K64" s="4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3"/>
      <c r="J65" s="3"/>
      <c r="K65" s="4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3"/>
      <c r="J66" s="3"/>
      <c r="K66" s="4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3"/>
      <c r="J67" s="3"/>
      <c r="K67" s="4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3"/>
      <c r="J68" s="3"/>
      <c r="K68" s="4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3"/>
      <c r="J69" s="3"/>
      <c r="K69" s="4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3"/>
      <c r="J70" s="3"/>
      <c r="K70" s="4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3"/>
      <c r="J71" s="3"/>
      <c r="K71" s="4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3"/>
      <c r="J72" s="3"/>
      <c r="K72" s="4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3"/>
      <c r="J73" s="3"/>
      <c r="K73" s="4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3"/>
      <c r="J74" s="3"/>
      <c r="K74" s="4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3"/>
      <c r="J75" s="3"/>
      <c r="K75" s="4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3"/>
      <c r="J76" s="3"/>
      <c r="K76" s="4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3"/>
      <c r="J77" s="3"/>
      <c r="K77" s="4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3"/>
      <c r="J78" s="3"/>
      <c r="K78" s="4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3"/>
      <c r="J79" s="3"/>
      <c r="K79" s="4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3"/>
      <c r="J80" s="3"/>
      <c r="K80" s="4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3"/>
      <c r="J81" s="3"/>
      <c r="K81" s="4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3"/>
      <c r="J82" s="3"/>
      <c r="K82" s="4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3"/>
      <c r="J83" s="3"/>
      <c r="K83" s="4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3"/>
      <c r="J84" s="3"/>
      <c r="K84" s="4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3"/>
      <c r="J85" s="3"/>
      <c r="K85" s="4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3"/>
      <c r="J86" s="3"/>
      <c r="K86" s="4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3"/>
      <c r="J87" s="3"/>
      <c r="K87" s="4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3"/>
      <c r="J88" s="3"/>
      <c r="K88" s="4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3"/>
      <c r="J89" s="3"/>
      <c r="K89" s="4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3"/>
      <c r="J90" s="3"/>
      <c r="K90" s="4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3"/>
      <c r="J91" s="3"/>
      <c r="K91" s="4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3"/>
      <c r="J92" s="3"/>
      <c r="K92" s="4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3"/>
      <c r="J93" s="3"/>
      <c r="K93" s="4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3"/>
      <c r="J94" s="3"/>
      <c r="K94" s="4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3"/>
      <c r="J95" s="3"/>
      <c r="K95" s="4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3"/>
      <c r="J96" s="3"/>
      <c r="K96" s="4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3"/>
      <c r="J97" s="3"/>
      <c r="K97" s="4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3"/>
      <c r="J98" s="3"/>
      <c r="K98" s="4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3"/>
      <c r="J99" s="3"/>
      <c r="K99" s="4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4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4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4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4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4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4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4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4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4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4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4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4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4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4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4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4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4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4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4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4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4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4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4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4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4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4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4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4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4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4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4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4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4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4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4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4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4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4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4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4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4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4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4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4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4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4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4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4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4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4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4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4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4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4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4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4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4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4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4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4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4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4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4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4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4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4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4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4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4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4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4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4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4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4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4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4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4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4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4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4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4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4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4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4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4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4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4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4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4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4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4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4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4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4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4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4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4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4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4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4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4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4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4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4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4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4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4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4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4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4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4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4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4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4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4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4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4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4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4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4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4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4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4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4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4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4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4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4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4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4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4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4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4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4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4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B3:O3"/>
  </mergeCells>
  <conditionalFormatting sqref="L7:L27">
    <cfRule type="colorScale" priority="6">
      <colorScale>
        <cfvo type="min"/>
        <cfvo type="max"/>
        <color rgb="FF57BB8A"/>
        <color rgb="FFFFFFFF"/>
      </colorScale>
    </cfRule>
  </conditionalFormatting>
  <conditionalFormatting sqref="L8:L27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K7:K27" xr:uid="{00000000-0002-0000-0000-000000000000}">
      <formula1>$K$31:$K$33</formula1>
    </dataValidation>
    <dataValidation type="list" allowBlank="1" showErrorMessage="1" sqref="L7:L27" xr:uid="{00000000-0002-0000-0000-000001000000}">
      <formula1>$L$31:$L$34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C10" sqref="C10"/>
    </sheetView>
  </sheetViews>
  <sheetFormatPr baseColWidth="10" defaultColWidth="12.6640625" defaultRowHeight="15" customHeight="1" x14ac:dyDescent="0.3"/>
  <cols>
    <col min="1" max="1" width="9.4140625" customWidth="1"/>
    <col min="2" max="2" width="2.6640625" customWidth="1"/>
    <col min="3" max="15" width="10.6640625" customWidth="1"/>
    <col min="16" max="16" width="2.6640625" customWidth="1"/>
    <col min="17" max="26" width="9.4140625" customWidth="1"/>
  </cols>
  <sheetData>
    <row r="1" spans="1:26" ht="1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hidden="1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hidden="1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5" hidden="1" x14ac:dyDescent="0.3">
      <c r="A4" s="12"/>
      <c r="B4" s="12"/>
      <c r="C4" s="13"/>
      <c r="D4" s="13"/>
      <c r="E4" s="13"/>
      <c r="F4" s="1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5" hidden="1" x14ac:dyDescent="0.3">
      <c r="A5" s="12"/>
      <c r="B5" s="12"/>
      <c r="C5" s="13"/>
      <c r="D5" s="13"/>
      <c r="E5" s="13"/>
      <c r="F5" s="14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9.75" customHeight="1" x14ac:dyDescent="0.3">
      <c r="A6" s="12"/>
      <c r="B6" s="62" t="s">
        <v>24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48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9.75" customHeight="1" x14ac:dyDescent="0.3">
      <c r="A7" s="15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9.75" customHeight="1" x14ac:dyDescent="0.3">
      <c r="A8" s="12"/>
      <c r="B8" s="17"/>
      <c r="C8" s="18"/>
      <c r="D8" s="18"/>
      <c r="E8" s="18"/>
      <c r="F8" s="19"/>
      <c r="G8" s="20"/>
      <c r="H8" s="20"/>
      <c r="I8" s="20"/>
      <c r="J8" s="20"/>
      <c r="K8" s="20"/>
      <c r="L8" s="20"/>
      <c r="M8" s="20"/>
      <c r="N8" s="20"/>
      <c r="O8" s="20"/>
      <c r="P8" s="21"/>
      <c r="Q8" s="15"/>
      <c r="R8" s="12"/>
      <c r="S8" s="12"/>
      <c r="T8" s="12"/>
      <c r="U8" s="12"/>
      <c r="V8" s="12"/>
      <c r="W8" s="12"/>
      <c r="X8" s="12"/>
      <c r="Y8" s="12"/>
      <c r="Z8" s="12"/>
    </row>
    <row r="9" spans="1:26" ht="30" customHeight="1" x14ac:dyDescent="0.3">
      <c r="A9" s="12"/>
      <c r="B9" s="22"/>
      <c r="C9" s="23" t="s">
        <v>2</v>
      </c>
      <c r="D9" s="24"/>
      <c r="E9" s="47" t="s">
        <v>25</v>
      </c>
      <c r="F9" s="48"/>
      <c r="G9" s="24"/>
      <c r="H9" s="47" t="s">
        <v>12</v>
      </c>
      <c r="I9" s="48"/>
      <c r="J9" s="25"/>
      <c r="K9" s="25"/>
      <c r="L9" s="25"/>
      <c r="M9" s="25"/>
      <c r="N9" s="25"/>
      <c r="O9" s="25"/>
      <c r="P9" s="26"/>
      <c r="Q9" s="15"/>
      <c r="R9" s="12"/>
      <c r="S9" s="12"/>
      <c r="T9" s="12"/>
      <c r="U9" s="12"/>
      <c r="V9" s="12"/>
      <c r="W9" s="12"/>
      <c r="X9" s="12"/>
      <c r="Y9" s="12"/>
      <c r="Z9" s="12"/>
    </row>
    <row r="10" spans="1:26" ht="30" customHeight="1" x14ac:dyDescent="0.3">
      <c r="A10" s="12"/>
      <c r="B10" s="22"/>
      <c r="C10" s="27" t="s">
        <v>16</v>
      </c>
      <c r="D10" s="28"/>
      <c r="E10" s="49" t="str">
        <f>VLOOKUP(C10,'Formato descripción HU'!B7:O27,5,0)</f>
        <v>Jefe Logística/Operación</v>
      </c>
      <c r="F10" s="48"/>
      <c r="G10" s="28"/>
      <c r="H10" s="49" t="str">
        <f>VLOOKUP(C10,'Formato descripción HU'!B7:O27,11,0)</f>
        <v>Por Hacer</v>
      </c>
      <c r="I10" s="48"/>
      <c r="J10" s="28"/>
      <c r="K10" s="25"/>
      <c r="L10" s="25"/>
      <c r="M10" s="25"/>
      <c r="N10" s="25"/>
      <c r="O10" s="25"/>
      <c r="P10" s="26"/>
      <c r="Q10" s="15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.75" customHeight="1" x14ac:dyDescent="0.3">
      <c r="A11" s="15"/>
      <c r="B11" s="22"/>
      <c r="C11" s="29"/>
      <c r="D11" s="28"/>
      <c r="E11" s="30"/>
      <c r="F11" s="30"/>
      <c r="G11" s="28"/>
      <c r="H11" s="30"/>
      <c r="I11" s="30"/>
      <c r="J11" s="28"/>
      <c r="K11" s="30"/>
      <c r="L11" s="30"/>
      <c r="M11" s="25"/>
      <c r="N11" s="30"/>
      <c r="O11" s="30"/>
      <c r="P11" s="26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0" customHeight="1" x14ac:dyDescent="0.3">
      <c r="A12" s="15"/>
      <c r="B12" s="22"/>
      <c r="C12" s="23" t="s">
        <v>26</v>
      </c>
      <c r="D12" s="28"/>
      <c r="E12" s="47" t="s">
        <v>11</v>
      </c>
      <c r="F12" s="48"/>
      <c r="G12" s="28"/>
      <c r="H12" s="47" t="s">
        <v>27</v>
      </c>
      <c r="I12" s="48"/>
      <c r="J12" s="28"/>
      <c r="K12" s="30"/>
      <c r="L12" s="30"/>
      <c r="M12" s="25"/>
      <c r="N12" s="30"/>
      <c r="O12" s="30"/>
      <c r="P12" s="26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30" customHeight="1" x14ac:dyDescent="0.3">
      <c r="A13" s="15"/>
      <c r="B13" s="22"/>
      <c r="C13" s="27">
        <f>VLOOKUP('Historia de Usuario'!C10,'Formato descripción HU'!B7:O27,8,0)</f>
        <v>28</v>
      </c>
      <c r="D13" s="28"/>
      <c r="E13" s="49" t="str">
        <f>VLOOKUP(C10,'Formato descripción HU'!B7:O27,10,0)</f>
        <v>Alta</v>
      </c>
      <c r="F13" s="48"/>
      <c r="G13" s="28"/>
      <c r="H13" s="49" t="str">
        <f>VLOOKUP(C10,'Formato descripción HU'!B7:O27,7,0)</f>
        <v>Equipo Completo</v>
      </c>
      <c r="I13" s="48"/>
      <c r="J13" s="28"/>
      <c r="K13" s="30"/>
      <c r="L13" s="30"/>
      <c r="M13" s="25"/>
      <c r="N13" s="30"/>
      <c r="O13" s="30"/>
      <c r="P13" s="26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9.75" customHeight="1" x14ac:dyDescent="0.3">
      <c r="A14" s="15"/>
      <c r="B14" s="22"/>
      <c r="C14" s="25"/>
      <c r="D14" s="28"/>
      <c r="E14" s="25"/>
      <c r="F14" s="25"/>
      <c r="G14" s="28"/>
      <c r="H14" s="28"/>
      <c r="I14" s="25"/>
      <c r="J14" s="25"/>
      <c r="K14" s="25"/>
      <c r="L14" s="25"/>
      <c r="M14" s="25"/>
      <c r="N14" s="25"/>
      <c r="O14" s="25"/>
      <c r="P14" s="26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.5" customHeight="1" x14ac:dyDescent="0.3">
      <c r="A15" s="15"/>
      <c r="B15" s="22"/>
      <c r="C15" s="50" t="s">
        <v>28</v>
      </c>
      <c r="D15" s="43" t="str">
        <f>VLOOKUP(C10,'Formato descripción HU'!B7:O27,3,0)</f>
        <v>Administrar el registro del personal en el sistema TekMess.</v>
      </c>
      <c r="E15" s="38"/>
      <c r="F15" s="31"/>
      <c r="G15" s="50" t="s">
        <v>29</v>
      </c>
      <c r="H15" s="43" t="str">
        <f>VLOOKUP(C10,'Formato descripción HU'!B7:O27,4,0)</f>
        <v>Permitir crear, editar, eliminar y consultar empleados de forma segura.</v>
      </c>
      <c r="I15" s="44"/>
      <c r="J15" s="38"/>
      <c r="K15" s="31"/>
      <c r="L15" s="50" t="s">
        <v>30</v>
      </c>
      <c r="M15" s="53" t="s">
        <v>31</v>
      </c>
      <c r="N15" s="44"/>
      <c r="O15" s="38"/>
      <c r="P15" s="26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.5" customHeight="1" x14ac:dyDescent="0.3">
      <c r="A16" s="15"/>
      <c r="B16" s="22"/>
      <c r="C16" s="51"/>
      <c r="D16" s="39"/>
      <c r="E16" s="40"/>
      <c r="F16" s="31"/>
      <c r="G16" s="51"/>
      <c r="H16" s="39"/>
      <c r="I16" s="45"/>
      <c r="J16" s="40"/>
      <c r="K16" s="31"/>
      <c r="L16" s="51"/>
      <c r="M16" s="39"/>
      <c r="N16" s="45"/>
      <c r="O16" s="40"/>
      <c r="P16" s="26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.5" customHeight="1" x14ac:dyDescent="0.3">
      <c r="A17" s="15"/>
      <c r="B17" s="22"/>
      <c r="C17" s="52"/>
      <c r="D17" s="41"/>
      <c r="E17" s="42"/>
      <c r="F17" s="31"/>
      <c r="G17" s="52"/>
      <c r="H17" s="41"/>
      <c r="I17" s="46"/>
      <c r="J17" s="42"/>
      <c r="K17" s="31"/>
      <c r="L17" s="52"/>
      <c r="M17" s="41"/>
      <c r="N17" s="46"/>
      <c r="O17" s="42"/>
      <c r="P17" s="26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.75" customHeight="1" x14ac:dyDescent="0.3">
      <c r="A18" s="15"/>
      <c r="B18" s="22"/>
      <c r="C18" s="25"/>
      <c r="D18" s="25"/>
      <c r="E18" s="25"/>
      <c r="F18" s="25"/>
      <c r="G18" s="28"/>
      <c r="H18" s="28"/>
      <c r="I18" s="28"/>
      <c r="J18" s="25"/>
      <c r="K18" s="25"/>
      <c r="L18" s="25"/>
      <c r="M18" s="25"/>
      <c r="N18" s="25"/>
      <c r="O18" s="25"/>
      <c r="P18" s="26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.5" customHeight="1" x14ac:dyDescent="0.3">
      <c r="A19" s="12"/>
      <c r="B19" s="22"/>
      <c r="C19" s="60" t="s">
        <v>32</v>
      </c>
      <c r="D19" s="38"/>
      <c r="E19" s="54" t="str">
        <f>VLOOKUP(C10,'Formato descripción HU'!B7:O27,14,0)</f>
        <v>RF-01: Gestionar Empleado (Épica)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26"/>
      <c r="Q19" s="15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5" customHeight="1" x14ac:dyDescent="0.3">
      <c r="A20" s="12"/>
      <c r="B20" s="22"/>
      <c r="C20" s="41"/>
      <c r="D20" s="42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26"/>
      <c r="Q20" s="15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9.75" customHeight="1" x14ac:dyDescent="0.3">
      <c r="A21" s="12"/>
      <c r="B21" s="22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5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5" customHeight="1" x14ac:dyDescent="0.3">
      <c r="A22" s="15"/>
      <c r="B22" s="22"/>
      <c r="C22" s="37" t="s">
        <v>33</v>
      </c>
      <c r="D22" s="38"/>
      <c r="E22" s="61" t="s">
        <v>34</v>
      </c>
      <c r="F22" s="44"/>
      <c r="G22" s="44"/>
      <c r="H22" s="38"/>
      <c r="I22" s="25"/>
      <c r="J22" s="37" t="s">
        <v>14</v>
      </c>
      <c r="K22" s="38"/>
      <c r="L22" s="43" t="s">
        <v>35</v>
      </c>
      <c r="M22" s="44"/>
      <c r="N22" s="44"/>
      <c r="O22" s="38"/>
      <c r="P22" s="26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.5" customHeight="1" x14ac:dyDescent="0.3">
      <c r="A23" s="15"/>
      <c r="B23" s="22"/>
      <c r="C23" s="39"/>
      <c r="D23" s="40"/>
      <c r="E23" s="39"/>
      <c r="F23" s="45"/>
      <c r="G23" s="45"/>
      <c r="H23" s="40"/>
      <c r="I23" s="25"/>
      <c r="J23" s="39"/>
      <c r="K23" s="40"/>
      <c r="L23" s="39"/>
      <c r="M23" s="45"/>
      <c r="N23" s="45"/>
      <c r="O23" s="40"/>
      <c r="P23" s="26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81.75" customHeight="1" x14ac:dyDescent="0.3">
      <c r="A24" s="15"/>
      <c r="B24" s="22"/>
      <c r="C24" s="41"/>
      <c r="D24" s="42"/>
      <c r="E24" s="41"/>
      <c r="F24" s="46"/>
      <c r="G24" s="46"/>
      <c r="H24" s="42"/>
      <c r="I24" s="25"/>
      <c r="J24" s="41"/>
      <c r="K24" s="42"/>
      <c r="L24" s="41"/>
      <c r="M24" s="46"/>
      <c r="N24" s="46"/>
      <c r="O24" s="42"/>
      <c r="P24" s="26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9.75" customHeight="1" x14ac:dyDescent="0.3">
      <c r="A25" s="15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4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.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.5" customHeight="1" x14ac:dyDescent="0.3">
      <c r="A27" s="15"/>
      <c r="B27" s="15"/>
      <c r="C27" s="15"/>
      <c r="D27" s="15"/>
      <c r="E27" s="15"/>
      <c r="F27" s="15"/>
      <c r="G27" s="1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.5" customHeight="1" x14ac:dyDescent="0.3">
      <c r="A28" s="15"/>
      <c r="B28" s="15"/>
      <c r="C28" s="15"/>
      <c r="D28" s="15"/>
      <c r="E28" s="15"/>
      <c r="F28" s="15"/>
      <c r="G28" s="1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5"/>
      <c r="S28" s="15"/>
      <c r="T28" s="12"/>
      <c r="U28" s="12"/>
      <c r="V28" s="12"/>
      <c r="W28" s="12"/>
      <c r="X28" s="12"/>
      <c r="Y28" s="12"/>
      <c r="Z28" s="15"/>
    </row>
    <row r="29" spans="1:26" ht="19.5" customHeight="1" x14ac:dyDescent="0.3">
      <c r="A29" s="15"/>
      <c r="B29" s="15"/>
      <c r="C29" s="15"/>
      <c r="D29" s="15"/>
      <c r="E29" s="15"/>
      <c r="F29" s="15"/>
      <c r="G29" s="1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5"/>
      <c r="S29" s="15"/>
      <c r="T29" s="12"/>
      <c r="U29" s="12"/>
      <c r="V29" s="12"/>
      <c r="W29" s="12"/>
      <c r="X29" s="12"/>
      <c r="Y29" s="12"/>
      <c r="Z29" s="15"/>
    </row>
    <row r="30" spans="1:26" ht="19.5" customHeight="1" x14ac:dyDescent="0.3">
      <c r="A30" s="15"/>
      <c r="B30" s="1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5"/>
      <c r="S30" s="15"/>
      <c r="T30" s="12"/>
      <c r="U30" s="12"/>
      <c r="V30" s="12"/>
      <c r="W30" s="12"/>
      <c r="X30" s="12"/>
      <c r="Y30" s="12"/>
      <c r="Z30" s="15"/>
    </row>
    <row r="31" spans="1:26" ht="19.5" customHeight="1" x14ac:dyDescent="0.3">
      <c r="A31" s="15"/>
      <c r="B31" s="1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5"/>
      <c r="S31" s="15"/>
      <c r="T31" s="12"/>
      <c r="U31" s="12"/>
      <c r="V31" s="12"/>
      <c r="W31" s="12"/>
      <c r="X31" s="12"/>
      <c r="Y31" s="12"/>
      <c r="Z31" s="15"/>
    </row>
    <row r="32" spans="1:26" ht="19.5" customHeight="1" x14ac:dyDescent="0.3">
      <c r="A32" s="15"/>
      <c r="B32" s="1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5"/>
      <c r="S32" s="15"/>
      <c r="T32" s="12"/>
      <c r="U32" s="12"/>
      <c r="V32" s="12"/>
      <c r="W32" s="12"/>
      <c r="X32" s="12"/>
      <c r="Y32" s="12"/>
      <c r="Z32" s="15"/>
    </row>
    <row r="33" spans="1:26" ht="19.5" customHeight="1" x14ac:dyDescent="0.3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5"/>
      <c r="S33" s="15"/>
      <c r="T33" s="12"/>
      <c r="U33" s="12"/>
      <c r="V33" s="12"/>
      <c r="W33" s="12"/>
      <c r="X33" s="12"/>
      <c r="Y33" s="12"/>
      <c r="Z33" s="15"/>
    </row>
    <row r="34" spans="1:26" ht="19.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5" customHeight="1" x14ac:dyDescent="0.3">
      <c r="A52" s="12"/>
      <c r="B52" s="12"/>
      <c r="C52" s="12"/>
      <c r="D52" s="12"/>
      <c r="E52" s="12"/>
      <c r="F52" s="12"/>
      <c r="G52" s="12"/>
      <c r="H52" s="15"/>
      <c r="I52" s="15"/>
      <c r="J52" s="15"/>
      <c r="K52" s="15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5" customHeight="1" x14ac:dyDescent="0.3">
      <c r="A54" s="12"/>
      <c r="B54" s="12"/>
      <c r="C54" s="12"/>
      <c r="D54" s="12"/>
      <c r="E54" s="12" t="e">
        <f>VLOOKUP(I69,'Formato descripción HU'!C43:P60,3,0)</f>
        <v>#N/A</v>
      </c>
      <c r="F54" s="12"/>
      <c r="G54" s="12"/>
      <c r="H54" s="12"/>
      <c r="I54" s="12" t="e">
        <f>VLOOKUP(I69,'Formato descripción HU'!C43:P60,4,0)</f>
        <v>#N/A</v>
      </c>
      <c r="J54" s="12"/>
      <c r="K54" s="12"/>
      <c r="L54" s="12"/>
      <c r="M54" s="12"/>
      <c r="N54" s="12" t="e">
        <f>VLOOKUP(I69,'Formato descripción HU'!C43:P60,6,0)</f>
        <v>#N/A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3">
      <c r="A58" s="12"/>
      <c r="B58" s="12"/>
      <c r="C58" s="12"/>
      <c r="D58" s="12"/>
      <c r="E58" s="12"/>
      <c r="F58" s="12" t="e">
        <f>VLOOKUP(I69,'Formato descripción HU'!C43:P60,14,0)</f>
        <v>#N/A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3">
      <c r="A61" s="12"/>
      <c r="B61" s="12"/>
      <c r="C61" s="12"/>
      <c r="D61" s="12"/>
      <c r="E61" s="12"/>
      <c r="F61" s="12" t="e">
        <f>VLOOKUP(I69,'Formato descripción HU'!C43:P60,12,0)</f>
        <v>#N/A</v>
      </c>
      <c r="G61" s="12"/>
      <c r="H61" s="12"/>
      <c r="I61" s="12"/>
      <c r="J61" s="12"/>
      <c r="K61" s="12"/>
      <c r="L61" s="12"/>
      <c r="M61" s="12" t="e">
        <f>VLOOKUP(I69,'Formato descripción HU'!C43:P60,13,0)</f>
        <v>#N/A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5"/>
      <c r="M65" s="15"/>
      <c r="N65" s="15"/>
      <c r="O65" s="15"/>
      <c r="P65" s="15"/>
      <c r="Q65" s="12"/>
      <c r="R65" s="12"/>
      <c r="S65" s="12"/>
      <c r="T65" s="12"/>
      <c r="U65" s="12"/>
      <c r="V65" s="12"/>
      <c r="W65" s="15"/>
      <c r="X65" s="12"/>
      <c r="Y65" s="12"/>
      <c r="Z65" s="12"/>
    </row>
    <row r="66" spans="1:26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5"/>
      <c r="M66" s="15"/>
      <c r="N66" s="15"/>
      <c r="O66" s="15"/>
      <c r="P66" s="15"/>
      <c r="Q66" s="12"/>
      <c r="R66" s="12"/>
      <c r="S66" s="12"/>
      <c r="T66" s="12"/>
      <c r="U66" s="12"/>
      <c r="V66" s="12"/>
      <c r="W66" s="15"/>
      <c r="X66" s="12"/>
      <c r="Y66" s="12"/>
      <c r="Z66" s="12"/>
    </row>
    <row r="67" spans="1:26" ht="15.75" customHeight="1" x14ac:dyDescent="0.3">
      <c r="A67" s="12"/>
      <c r="B67" s="12"/>
      <c r="C67" s="12"/>
      <c r="D67" s="12"/>
      <c r="E67" s="12"/>
      <c r="F67" s="12" t="s">
        <v>36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 t="e">
        <f>VLOOKUP(I69,'Formato descripción HU'!H63:U80,10,0)</f>
        <v>#N/A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3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HU'!$B$7:$B$27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Danna Andrade</cp:lastModifiedBy>
  <dcterms:created xsi:type="dcterms:W3CDTF">2025-11-11T12:29:14Z</dcterms:created>
  <dcterms:modified xsi:type="dcterms:W3CDTF">2026-06-11T02:02:30Z</dcterms:modified>
</cp:coreProperties>
</file>